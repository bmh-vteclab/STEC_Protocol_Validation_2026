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defaultThemeVersion="124226"/>
  <mc:AlternateContent xmlns:mc="http://schemas.openxmlformats.org/markup-compatibility/2006">
    <mc:Choice Requires="x15">
      <x15ac:absPath xmlns:x15ac="http://schemas.microsoft.com/office/spreadsheetml/2010/11/ac" url="https://022gc-my.sharepoint.com/personal/alex_gill_hc-sc_gc_ca/Documents/Documents/Alex Work/Projects/Current Projects/MFLP-52 Update/Validation Package/Supporting Documents/"/>
    </mc:Choice>
  </mc:AlternateContent>
  <xr:revisionPtr revIDLastSave="84" documentId="8_{9232D540-830A-46CF-89F2-B24B8CE74534}" xr6:coauthVersionLast="47" xr6:coauthVersionMax="47" xr10:uidLastSave="{650A72DC-1629-48B8-A3D1-CB570240EAAF}"/>
  <bookViews>
    <workbookView xWindow="-120" yWindow="-120" windowWidth="29040" windowHeight="15720" firstSheet="3" activeTab="3" xr2:uid="{D74C82F9-40E5-4D86-A1F4-222554281E28}"/>
  </bookViews>
  <sheets>
    <sheet name="1. PCR screening InstaGene" sheetId="3" r:id="rId1"/>
    <sheet name="2. PCR screening Puregene" sheetId="1" r:id="rId2"/>
    <sheet name="3. VTEC Isolation" sheetId="2" r:id="rId3"/>
    <sheet name="4. VTEC Modified Isola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8" i="2" l="1"/>
  <c r="V7" i="2"/>
  <c r="M75" i="4" l="1"/>
  <c r="M74" i="4"/>
  <c r="L74" i="4"/>
  <c r="J74" i="4"/>
  <c r="I74" i="4"/>
  <c r="H74" i="4"/>
  <c r="G74" i="4"/>
  <c r="M73" i="4"/>
  <c r="L73" i="4"/>
  <c r="J73" i="4"/>
  <c r="I73" i="4"/>
  <c r="H73" i="4"/>
  <c r="G73" i="4"/>
  <c r="M72" i="4"/>
  <c r="L72" i="4"/>
  <c r="L75" i="4" s="1"/>
  <c r="J72" i="4"/>
  <c r="I72" i="4"/>
  <c r="I75" i="4" s="1"/>
  <c r="H72" i="4"/>
  <c r="Q71" i="4" s="1"/>
  <c r="Q73" i="4" s="1"/>
  <c r="G72" i="4"/>
  <c r="L65" i="4"/>
  <c r="I65" i="4"/>
  <c r="M64" i="4"/>
  <c r="L64" i="4"/>
  <c r="J64" i="4"/>
  <c r="I64" i="4"/>
  <c r="H64" i="4"/>
  <c r="G64" i="4"/>
  <c r="M63" i="4"/>
  <c r="L63" i="4"/>
  <c r="J63" i="4"/>
  <c r="I63" i="4"/>
  <c r="H63" i="4"/>
  <c r="G63" i="4"/>
  <c r="M62" i="4"/>
  <c r="M65" i="4" s="1"/>
  <c r="L62" i="4"/>
  <c r="J62" i="4"/>
  <c r="I62" i="4"/>
  <c r="H62" i="4"/>
  <c r="H65" i="4" s="1"/>
  <c r="G62" i="4"/>
  <c r="Q61" i="4"/>
  <c r="Q63" i="4" s="1"/>
  <c r="X58" i="4"/>
  <c r="W58" i="4"/>
  <c r="V58" i="4"/>
  <c r="U58" i="4"/>
  <c r="T58" i="4"/>
  <c r="S58" i="4"/>
  <c r="Y58" i="4" s="1"/>
  <c r="R58" i="4"/>
  <c r="Q58" i="4"/>
  <c r="P58" i="4"/>
  <c r="Y57" i="4"/>
  <c r="AA57" i="4" s="1"/>
  <c r="X57" i="4"/>
  <c r="W57" i="4"/>
  <c r="V57" i="4"/>
  <c r="U57" i="4"/>
  <c r="T57" i="4"/>
  <c r="S57" i="4"/>
  <c r="R57" i="4"/>
  <c r="Q57" i="4"/>
  <c r="P57" i="4"/>
  <c r="X55" i="4"/>
  <c r="W55" i="4"/>
  <c r="V55" i="4"/>
  <c r="U55" i="4"/>
  <c r="T55" i="4"/>
  <c r="S55" i="4"/>
  <c r="Y55" i="4" s="1"/>
  <c r="R55" i="4"/>
  <c r="Q55" i="4"/>
  <c r="P55" i="4"/>
  <c r="Y54" i="4"/>
  <c r="X54" i="4"/>
  <c r="W54" i="4"/>
  <c r="V54" i="4"/>
  <c r="U54" i="4"/>
  <c r="T54" i="4"/>
  <c r="S54" i="4"/>
  <c r="R54" i="4"/>
  <c r="Q54" i="4"/>
  <c r="P54" i="4"/>
  <c r="X52" i="4"/>
  <c r="W52" i="4"/>
  <c r="V52" i="4"/>
  <c r="U52" i="4"/>
  <c r="T52" i="4"/>
  <c r="S52" i="4"/>
  <c r="Y52" i="4" s="1"/>
  <c r="R52" i="4"/>
  <c r="Q52" i="4"/>
  <c r="P52" i="4"/>
  <c r="Y51" i="4"/>
  <c r="AA51" i="4" s="1"/>
  <c r="X51" i="4"/>
  <c r="W51" i="4"/>
  <c r="V51" i="4"/>
  <c r="U51" i="4"/>
  <c r="T51" i="4"/>
  <c r="S51" i="4"/>
  <c r="R51" i="4"/>
  <c r="Q51" i="4"/>
  <c r="P51" i="4"/>
  <c r="H43" i="4"/>
  <c r="G43" i="4"/>
  <c r="Q42" i="4"/>
  <c r="M42" i="4"/>
  <c r="L42" i="4"/>
  <c r="J42" i="4"/>
  <c r="I42" i="4"/>
  <c r="H42" i="4"/>
  <c r="G42" i="4"/>
  <c r="M41" i="4"/>
  <c r="L41" i="4"/>
  <c r="J41" i="4"/>
  <c r="I41" i="4"/>
  <c r="H41" i="4"/>
  <c r="G41" i="4"/>
  <c r="M40" i="4"/>
  <c r="M43" i="4" s="1"/>
  <c r="L40" i="4"/>
  <c r="L43" i="4" s="1"/>
  <c r="J40" i="4"/>
  <c r="J43" i="4" s="1"/>
  <c r="I40" i="4"/>
  <c r="I43" i="4" s="1"/>
  <c r="H40" i="4"/>
  <c r="G40" i="4"/>
  <c r="Q38" i="4"/>
  <c r="Q40" i="4" s="1"/>
  <c r="X36" i="4"/>
  <c r="W36" i="4"/>
  <c r="V36" i="4"/>
  <c r="U36" i="4"/>
  <c r="T36" i="4"/>
  <c r="S36" i="4"/>
  <c r="Y36" i="4" s="1"/>
  <c r="R36" i="4"/>
  <c r="Q36" i="4"/>
  <c r="P36" i="4"/>
  <c r="X35" i="4"/>
  <c r="W35" i="4"/>
  <c r="V35" i="4"/>
  <c r="Y35" i="4" s="1"/>
  <c r="U35" i="4"/>
  <c r="T35" i="4"/>
  <c r="S35" i="4"/>
  <c r="R35" i="4"/>
  <c r="Q35" i="4"/>
  <c r="P35" i="4"/>
  <c r="X33" i="4"/>
  <c r="W33" i="4"/>
  <c r="V33" i="4"/>
  <c r="U33" i="4"/>
  <c r="T33" i="4"/>
  <c r="S33" i="4"/>
  <c r="Y33" i="4" s="1"/>
  <c r="R33" i="4"/>
  <c r="Q33" i="4"/>
  <c r="P33" i="4"/>
  <c r="X32" i="4"/>
  <c r="W32" i="4"/>
  <c r="V32" i="4"/>
  <c r="Y32" i="4" s="1"/>
  <c r="U32" i="4"/>
  <c r="T32" i="4"/>
  <c r="S32" i="4"/>
  <c r="R32" i="4"/>
  <c r="Q32" i="4"/>
  <c r="P32" i="4"/>
  <c r="X30" i="4"/>
  <c r="W30" i="4"/>
  <c r="V30" i="4"/>
  <c r="U30" i="4"/>
  <c r="T30" i="4"/>
  <c r="S30" i="4"/>
  <c r="Y30" i="4" s="1"/>
  <c r="R30" i="4"/>
  <c r="Q30" i="4"/>
  <c r="P30" i="4"/>
  <c r="X29" i="4"/>
  <c r="W29" i="4"/>
  <c r="V29" i="4"/>
  <c r="Y29" i="4" s="1"/>
  <c r="U29" i="4"/>
  <c r="T29" i="4"/>
  <c r="S29" i="4"/>
  <c r="R29" i="4"/>
  <c r="Q29" i="4"/>
  <c r="P29" i="4"/>
  <c r="M21" i="4"/>
  <c r="L21" i="4"/>
  <c r="M20" i="4"/>
  <c r="L20" i="4"/>
  <c r="J20" i="4"/>
  <c r="I20" i="4"/>
  <c r="H20" i="4"/>
  <c r="G20" i="4"/>
  <c r="M19" i="4"/>
  <c r="L19" i="4"/>
  <c r="J19" i="4"/>
  <c r="I19" i="4"/>
  <c r="H19" i="4"/>
  <c r="G19" i="4"/>
  <c r="M18" i="4"/>
  <c r="L18" i="4"/>
  <c r="J18" i="4"/>
  <c r="I18" i="4"/>
  <c r="I21" i="4" s="1"/>
  <c r="H18" i="4"/>
  <c r="Q17" i="4" s="1"/>
  <c r="Q19" i="4" s="1"/>
  <c r="G18" i="4"/>
  <c r="X14" i="4"/>
  <c r="W14" i="4"/>
  <c r="V14" i="4"/>
  <c r="U14" i="4"/>
  <c r="T14" i="4"/>
  <c r="S14" i="4"/>
  <c r="Y14" i="4" s="1"/>
  <c r="R14" i="4"/>
  <c r="Q14" i="4"/>
  <c r="P14" i="4"/>
  <c r="X13" i="4"/>
  <c r="W13" i="4"/>
  <c r="V13" i="4"/>
  <c r="U13" i="4"/>
  <c r="T13" i="4"/>
  <c r="S13" i="4"/>
  <c r="Y13" i="4" s="1"/>
  <c r="R13" i="4"/>
  <c r="Q13" i="4"/>
  <c r="P13" i="4"/>
  <c r="Y11" i="4"/>
  <c r="AA11" i="4" s="1"/>
  <c r="X11" i="4"/>
  <c r="W11" i="4"/>
  <c r="V11" i="4"/>
  <c r="U11" i="4"/>
  <c r="T11" i="4"/>
  <c r="S11" i="4"/>
  <c r="R11" i="4"/>
  <c r="Q11" i="4"/>
  <c r="P11" i="4"/>
  <c r="X10" i="4"/>
  <c r="W10" i="4"/>
  <c r="V10" i="4"/>
  <c r="U10" i="4"/>
  <c r="T10" i="4"/>
  <c r="S10" i="4"/>
  <c r="Y10" i="4" s="1"/>
  <c r="R10" i="4"/>
  <c r="Q10" i="4"/>
  <c r="P10" i="4"/>
  <c r="Y8" i="4"/>
  <c r="Z8" i="4" s="1"/>
  <c r="X8" i="4"/>
  <c r="W8" i="4"/>
  <c r="V8" i="4"/>
  <c r="U8" i="4"/>
  <c r="T8" i="4"/>
  <c r="S8" i="4"/>
  <c r="R8" i="4"/>
  <c r="Q8" i="4"/>
  <c r="P8" i="4"/>
  <c r="X7" i="4"/>
  <c r="W7" i="4"/>
  <c r="V7" i="4"/>
  <c r="U7" i="4"/>
  <c r="T7" i="4"/>
  <c r="S7" i="4"/>
  <c r="Y7" i="4" s="1"/>
  <c r="R7" i="4"/>
  <c r="Q7" i="4"/>
  <c r="P7" i="4"/>
  <c r="J65" i="4" l="1"/>
  <c r="AA54" i="4"/>
  <c r="Q60" i="4"/>
  <c r="Q62" i="4" s="1"/>
  <c r="AA14" i="4"/>
  <c r="J75" i="4"/>
  <c r="J21" i="4"/>
  <c r="Q16" i="4"/>
  <c r="Q18" i="4" s="1"/>
  <c r="Q70" i="4"/>
  <c r="Q72" i="4" s="1"/>
  <c r="Z10" i="4"/>
  <c r="AA10" i="4"/>
  <c r="AA52" i="4"/>
  <c r="Z52" i="4"/>
  <c r="AA32" i="4"/>
  <c r="Z32" i="4"/>
  <c r="Z36" i="4"/>
  <c r="AA36" i="4"/>
  <c r="AA35" i="4"/>
  <c r="Z35" i="4"/>
  <c r="AA29" i="4"/>
  <c r="Z29" i="4"/>
  <c r="Z33" i="4"/>
  <c r="AA33" i="4"/>
  <c r="AA58" i="4"/>
  <c r="Z58" i="4"/>
  <c r="Z13" i="4"/>
  <c r="AA13" i="4"/>
  <c r="AA30" i="4"/>
  <c r="Z30" i="4"/>
  <c r="AA55" i="4"/>
  <c r="Z55" i="4"/>
  <c r="Z7" i="4"/>
  <c r="AA7" i="4"/>
  <c r="Z54" i="4"/>
  <c r="Z57" i="4"/>
  <c r="Q74" i="4"/>
  <c r="Z11" i="4"/>
  <c r="Z14" i="4"/>
  <c r="G75" i="4"/>
  <c r="AA8" i="4"/>
  <c r="G21" i="4"/>
  <c r="H75" i="4"/>
  <c r="Z51" i="4"/>
  <c r="Q20" i="4"/>
  <c r="Q39" i="4"/>
  <c r="Q41" i="4" s="1"/>
  <c r="H21" i="4"/>
  <c r="Q64" i="4"/>
  <c r="G65" i="4"/>
  <c r="U54" i="2" l="1"/>
  <c r="T54" i="2"/>
  <c r="S54" i="2"/>
  <c r="R54" i="2"/>
  <c r="Q54" i="2"/>
  <c r="P54" i="2"/>
  <c r="M74" i="3"/>
  <c r="L74" i="3"/>
  <c r="L75" i="3" s="1"/>
  <c r="J74" i="3"/>
  <c r="I74" i="3"/>
  <c r="H74" i="3"/>
  <c r="G74" i="3"/>
  <c r="Q73" i="3"/>
  <c r="M73" i="3"/>
  <c r="L73" i="3"/>
  <c r="J73" i="3"/>
  <c r="I73" i="3"/>
  <c r="H73" i="3"/>
  <c r="G73" i="3"/>
  <c r="M72" i="3"/>
  <c r="M75" i="3" s="1"/>
  <c r="L72" i="3"/>
  <c r="J72" i="3"/>
  <c r="J75" i="3" s="1"/>
  <c r="I72" i="3"/>
  <c r="I75" i="3" s="1"/>
  <c r="H72" i="3"/>
  <c r="H75" i="3" s="1"/>
  <c r="G72" i="3"/>
  <c r="Q71" i="3"/>
  <c r="M65" i="3"/>
  <c r="M64" i="3"/>
  <c r="L64" i="3"/>
  <c r="J64" i="3"/>
  <c r="I64" i="3"/>
  <c r="H64" i="3"/>
  <c r="H65" i="3" s="1"/>
  <c r="G64" i="3"/>
  <c r="M63" i="3"/>
  <c r="L63" i="3"/>
  <c r="J63" i="3"/>
  <c r="I63" i="3"/>
  <c r="H63" i="3"/>
  <c r="G63" i="3"/>
  <c r="Q60" i="3" s="1"/>
  <c r="Q62" i="3" s="1"/>
  <c r="M62" i="3"/>
  <c r="L62" i="3"/>
  <c r="L65" i="3" s="1"/>
  <c r="J62" i="3"/>
  <c r="J65" i="3" s="1"/>
  <c r="I62" i="3"/>
  <c r="I65" i="3" s="1"/>
  <c r="H62" i="3"/>
  <c r="G62" i="3"/>
  <c r="G65" i="3" s="1"/>
  <c r="Y58" i="3"/>
  <c r="AA58" i="3" s="1"/>
  <c r="X58" i="3"/>
  <c r="Z58" i="3" s="1"/>
  <c r="W58" i="3"/>
  <c r="V58" i="3"/>
  <c r="U58" i="3"/>
  <c r="T58" i="3"/>
  <c r="S58" i="3"/>
  <c r="R58" i="3"/>
  <c r="Q58" i="3"/>
  <c r="P58" i="3"/>
  <c r="X57" i="3"/>
  <c r="W57" i="3"/>
  <c r="V57" i="3"/>
  <c r="Y57" i="3" s="1"/>
  <c r="U57" i="3"/>
  <c r="T57" i="3"/>
  <c r="S57" i="3"/>
  <c r="R57" i="3"/>
  <c r="Q57" i="3"/>
  <c r="P57" i="3"/>
  <c r="Y55" i="3"/>
  <c r="AA55" i="3" s="1"/>
  <c r="X55" i="3"/>
  <c r="Z55" i="3" s="1"/>
  <c r="W55" i="3"/>
  <c r="V55" i="3"/>
  <c r="U55" i="3"/>
  <c r="T55" i="3"/>
  <c r="S55" i="3"/>
  <c r="R55" i="3"/>
  <c r="Q55" i="3"/>
  <c r="P55" i="3"/>
  <c r="X54" i="3"/>
  <c r="W54" i="3"/>
  <c r="V54" i="3"/>
  <c r="Y54" i="3" s="1"/>
  <c r="U54" i="3"/>
  <c r="T54" i="3"/>
  <c r="S54" i="3"/>
  <c r="R54" i="3"/>
  <c r="Q54" i="3"/>
  <c r="P54" i="3"/>
  <c r="Y52" i="3"/>
  <c r="AA52" i="3" s="1"/>
  <c r="X52" i="3"/>
  <c r="Z52" i="3" s="1"/>
  <c r="W52" i="3"/>
  <c r="V52" i="3"/>
  <c r="U52" i="3"/>
  <c r="T52" i="3"/>
  <c r="S52" i="3"/>
  <c r="R52" i="3"/>
  <c r="Q52" i="3"/>
  <c r="P52" i="3"/>
  <c r="X51" i="3"/>
  <c r="W51" i="3"/>
  <c r="V51" i="3"/>
  <c r="Y51" i="3" s="1"/>
  <c r="U51" i="3"/>
  <c r="T51" i="3"/>
  <c r="S51" i="3"/>
  <c r="R51" i="3"/>
  <c r="Q51" i="3"/>
  <c r="P51" i="3"/>
  <c r="L43" i="3"/>
  <c r="I43" i="3"/>
  <c r="M42" i="3"/>
  <c r="L42" i="3"/>
  <c r="J42" i="3"/>
  <c r="I42" i="3"/>
  <c r="H42" i="3"/>
  <c r="G42" i="3"/>
  <c r="M41" i="3"/>
  <c r="L41" i="3"/>
  <c r="J41" i="3"/>
  <c r="I41" i="3"/>
  <c r="H41" i="3"/>
  <c r="G41" i="3"/>
  <c r="M40" i="3"/>
  <c r="M43" i="3" s="1"/>
  <c r="L40" i="3"/>
  <c r="J40" i="3"/>
  <c r="I40" i="3"/>
  <c r="H40" i="3"/>
  <c r="H43" i="3" s="1"/>
  <c r="G40" i="3"/>
  <c r="Q39" i="3"/>
  <c r="Q41" i="3" s="1"/>
  <c r="X36" i="3"/>
  <c r="W36" i="3"/>
  <c r="V36" i="3"/>
  <c r="Y36" i="3" s="1"/>
  <c r="U36" i="3"/>
  <c r="T36" i="3"/>
  <c r="S36" i="3"/>
  <c r="R36" i="3"/>
  <c r="Q36" i="3"/>
  <c r="P36" i="3"/>
  <c r="Y35" i="3"/>
  <c r="AA35" i="3" s="1"/>
  <c r="X35" i="3"/>
  <c r="W35" i="3"/>
  <c r="V35" i="3"/>
  <c r="U35" i="3"/>
  <c r="T35" i="3"/>
  <c r="S35" i="3"/>
  <c r="R35" i="3"/>
  <c r="Q35" i="3"/>
  <c r="P35" i="3"/>
  <c r="X33" i="3"/>
  <c r="W33" i="3"/>
  <c r="V33" i="3"/>
  <c r="Y33" i="3" s="1"/>
  <c r="U33" i="3"/>
  <c r="T33" i="3"/>
  <c r="S33" i="3"/>
  <c r="R33" i="3"/>
  <c r="Q33" i="3"/>
  <c r="P33" i="3"/>
  <c r="Y32" i="3"/>
  <c r="AA32" i="3" s="1"/>
  <c r="X32" i="3"/>
  <c r="W32" i="3"/>
  <c r="V32" i="3"/>
  <c r="U32" i="3"/>
  <c r="T32" i="3"/>
  <c r="S32" i="3"/>
  <c r="R32" i="3"/>
  <c r="Q32" i="3"/>
  <c r="P32" i="3"/>
  <c r="Z30" i="3"/>
  <c r="Y30" i="3"/>
  <c r="AA30" i="3" s="1"/>
  <c r="X30" i="3"/>
  <c r="W30" i="3"/>
  <c r="V30" i="3"/>
  <c r="U30" i="3"/>
  <c r="T30" i="3"/>
  <c r="S30" i="3"/>
  <c r="R30" i="3"/>
  <c r="Q30" i="3"/>
  <c r="P30" i="3"/>
  <c r="Y29" i="3"/>
  <c r="X29" i="3"/>
  <c r="W29" i="3"/>
  <c r="V29" i="3"/>
  <c r="U29" i="3"/>
  <c r="T29" i="3"/>
  <c r="S29" i="3"/>
  <c r="R29" i="3"/>
  <c r="Q29" i="3"/>
  <c r="P29" i="3"/>
  <c r="H21" i="3"/>
  <c r="Q20" i="3"/>
  <c r="M20" i="3"/>
  <c r="L20" i="3"/>
  <c r="J20" i="3"/>
  <c r="J21" i="3" s="1"/>
  <c r="I20" i="3"/>
  <c r="H20" i="3"/>
  <c r="G20" i="3"/>
  <c r="M19" i="3"/>
  <c r="L19" i="3"/>
  <c r="J19" i="3"/>
  <c r="I19" i="3"/>
  <c r="H19" i="3"/>
  <c r="G19" i="3"/>
  <c r="M18" i="3"/>
  <c r="M21" i="3" s="1"/>
  <c r="L18" i="3"/>
  <c r="L21" i="3" s="1"/>
  <c r="J18" i="3"/>
  <c r="I18" i="3"/>
  <c r="I21" i="3" s="1"/>
  <c r="H18" i="3"/>
  <c r="Q17" i="3" s="1"/>
  <c r="Q19" i="3" s="1"/>
  <c r="G18" i="3"/>
  <c r="G21" i="3" s="1"/>
  <c r="Q16" i="3"/>
  <c r="Q18" i="3" s="1"/>
  <c r="X14" i="3"/>
  <c r="W14" i="3"/>
  <c r="V14" i="3"/>
  <c r="U14" i="3"/>
  <c r="T14" i="3"/>
  <c r="S14" i="3"/>
  <c r="Y14" i="3" s="1"/>
  <c r="R14" i="3"/>
  <c r="Q14" i="3"/>
  <c r="P14" i="3"/>
  <c r="X13" i="3"/>
  <c r="W13" i="3"/>
  <c r="V13" i="3"/>
  <c r="U13" i="3"/>
  <c r="T13" i="3"/>
  <c r="S13" i="3"/>
  <c r="Y13" i="3" s="1"/>
  <c r="R13" i="3"/>
  <c r="Q13" i="3"/>
  <c r="P13" i="3"/>
  <c r="X11" i="3"/>
  <c r="W11" i="3"/>
  <c r="V11" i="3"/>
  <c r="U11" i="3"/>
  <c r="T11" i="3"/>
  <c r="S11" i="3"/>
  <c r="Y11" i="3" s="1"/>
  <c r="R11" i="3"/>
  <c r="Q11" i="3"/>
  <c r="P11" i="3"/>
  <c r="X10" i="3"/>
  <c r="W10" i="3"/>
  <c r="V10" i="3"/>
  <c r="U10" i="3"/>
  <c r="T10" i="3"/>
  <c r="S10" i="3"/>
  <c r="Y10" i="3" s="1"/>
  <c r="R10" i="3"/>
  <c r="Q10" i="3"/>
  <c r="P10" i="3"/>
  <c r="X8" i="3"/>
  <c r="W8" i="3"/>
  <c r="V8" i="3"/>
  <c r="U8" i="3"/>
  <c r="T8" i="3"/>
  <c r="S8" i="3"/>
  <c r="Y8" i="3" s="1"/>
  <c r="R8" i="3"/>
  <c r="Q8" i="3"/>
  <c r="P8" i="3"/>
  <c r="X7" i="3"/>
  <c r="W7" i="3"/>
  <c r="V7" i="3"/>
  <c r="U7" i="3"/>
  <c r="T7" i="3"/>
  <c r="S7" i="3"/>
  <c r="Y7" i="3" s="1"/>
  <c r="R7" i="3"/>
  <c r="Q7" i="3"/>
  <c r="P7" i="3"/>
  <c r="M21" i="1"/>
  <c r="L21" i="1"/>
  <c r="J21" i="1"/>
  <c r="I21" i="1"/>
  <c r="H21" i="1"/>
  <c r="G21" i="1"/>
  <c r="M43" i="1"/>
  <c r="L43" i="1"/>
  <c r="J43" i="1"/>
  <c r="I43" i="1"/>
  <c r="H43" i="1"/>
  <c r="G43" i="1"/>
  <c r="M65" i="1"/>
  <c r="L65" i="1"/>
  <c r="J65" i="1"/>
  <c r="I65" i="1"/>
  <c r="H65" i="1"/>
  <c r="G65" i="1"/>
  <c r="M65" i="2"/>
  <c r="J65" i="2"/>
  <c r="I65" i="2"/>
  <c r="H65" i="2"/>
  <c r="M43" i="2"/>
  <c r="L43" i="2"/>
  <c r="J43" i="2"/>
  <c r="I43" i="2"/>
  <c r="H43" i="2"/>
  <c r="G43" i="2"/>
  <c r="M21" i="2"/>
  <c r="L21" i="2"/>
  <c r="J21" i="2"/>
  <c r="I21" i="2"/>
  <c r="H21" i="2"/>
  <c r="M75" i="2"/>
  <c r="I75" i="2"/>
  <c r="H75" i="2"/>
  <c r="M64" i="2"/>
  <c r="L64" i="2"/>
  <c r="J64" i="2"/>
  <c r="I64" i="2"/>
  <c r="H64" i="2"/>
  <c r="G64" i="2"/>
  <c r="M63" i="2"/>
  <c r="L63" i="2"/>
  <c r="L65" i="2" s="1"/>
  <c r="J63" i="2"/>
  <c r="I63" i="2"/>
  <c r="H63" i="2"/>
  <c r="G63" i="2"/>
  <c r="G65" i="2" s="1"/>
  <c r="M62" i="2"/>
  <c r="L62" i="2"/>
  <c r="J62" i="2"/>
  <c r="I62" i="2"/>
  <c r="Q61" i="2" s="1"/>
  <c r="Q63" i="2" s="1"/>
  <c r="H62" i="2"/>
  <c r="G62" i="2"/>
  <c r="M42" i="2"/>
  <c r="L42" i="2"/>
  <c r="J42" i="2"/>
  <c r="I42" i="2"/>
  <c r="H42" i="2"/>
  <c r="G42" i="2"/>
  <c r="M41" i="2"/>
  <c r="L41" i="2"/>
  <c r="J41" i="2"/>
  <c r="I41" i="2"/>
  <c r="H41" i="2"/>
  <c r="G41" i="2"/>
  <c r="M40" i="2"/>
  <c r="L40" i="2"/>
  <c r="J40" i="2"/>
  <c r="I40" i="2"/>
  <c r="H40" i="2"/>
  <c r="G40" i="2"/>
  <c r="M20" i="2"/>
  <c r="L20" i="2"/>
  <c r="J20" i="2"/>
  <c r="I20" i="2"/>
  <c r="H20" i="2"/>
  <c r="G20" i="2"/>
  <c r="M19" i="2"/>
  <c r="L19" i="2"/>
  <c r="J19" i="2"/>
  <c r="I19" i="2"/>
  <c r="H19" i="2"/>
  <c r="G19" i="2"/>
  <c r="G21" i="2" s="1"/>
  <c r="M18" i="2"/>
  <c r="L18" i="2"/>
  <c r="J18" i="2"/>
  <c r="I18" i="2"/>
  <c r="H18" i="2"/>
  <c r="G18" i="2"/>
  <c r="M64" i="1"/>
  <c r="L64" i="1"/>
  <c r="J64" i="1"/>
  <c r="I64" i="1"/>
  <c r="H64" i="1"/>
  <c r="G64" i="1"/>
  <c r="M63" i="1"/>
  <c r="L63" i="1"/>
  <c r="J63" i="1"/>
  <c r="I63" i="1"/>
  <c r="H63" i="1"/>
  <c r="G63" i="1"/>
  <c r="M62" i="1"/>
  <c r="L62" i="1"/>
  <c r="J62" i="1"/>
  <c r="I62" i="1"/>
  <c r="H62" i="1"/>
  <c r="G62" i="1"/>
  <c r="M42" i="1"/>
  <c r="L42" i="1"/>
  <c r="J42" i="1"/>
  <c r="I42" i="1"/>
  <c r="H42" i="1"/>
  <c r="G42" i="1"/>
  <c r="M41" i="1"/>
  <c r="L41" i="1"/>
  <c r="J41" i="1"/>
  <c r="I41" i="1"/>
  <c r="H41" i="1"/>
  <c r="G41" i="1"/>
  <c r="M40" i="1"/>
  <c r="L40" i="1"/>
  <c r="J40" i="1"/>
  <c r="I40" i="1"/>
  <c r="H40" i="1"/>
  <c r="G40" i="1"/>
  <c r="M20" i="1"/>
  <c r="L20" i="1"/>
  <c r="J20" i="1"/>
  <c r="I20" i="1"/>
  <c r="H20" i="1"/>
  <c r="G20" i="1"/>
  <c r="M19" i="1"/>
  <c r="L19" i="1"/>
  <c r="J19" i="1"/>
  <c r="I19" i="1"/>
  <c r="H19" i="1"/>
  <c r="G19" i="1"/>
  <c r="M18" i="1"/>
  <c r="L18" i="1"/>
  <c r="J18" i="1"/>
  <c r="I18" i="1"/>
  <c r="H18" i="1"/>
  <c r="G18" i="1"/>
  <c r="M74" i="2"/>
  <c r="L74" i="2"/>
  <c r="J74" i="2"/>
  <c r="I74" i="2"/>
  <c r="H74" i="2"/>
  <c r="G74" i="2"/>
  <c r="M73" i="2"/>
  <c r="L73" i="2"/>
  <c r="L75" i="2" s="1"/>
  <c r="J73" i="2"/>
  <c r="J75" i="2" s="1"/>
  <c r="I73" i="2"/>
  <c r="H73" i="2"/>
  <c r="G73" i="2"/>
  <c r="G75" i="2" s="1"/>
  <c r="M72" i="2"/>
  <c r="L72" i="2"/>
  <c r="J72" i="2"/>
  <c r="I72" i="2"/>
  <c r="H72" i="2"/>
  <c r="G72" i="2"/>
  <c r="M74" i="1"/>
  <c r="L74" i="1"/>
  <c r="J74" i="1"/>
  <c r="I74" i="1"/>
  <c r="H74" i="1"/>
  <c r="G74" i="1"/>
  <c r="M73" i="1"/>
  <c r="L73" i="1"/>
  <c r="J73" i="1"/>
  <c r="I73" i="1"/>
  <c r="H73" i="1"/>
  <c r="G73" i="1"/>
  <c r="M72" i="1"/>
  <c r="M75" i="1" s="1"/>
  <c r="L72" i="1"/>
  <c r="L75" i="1" s="1"/>
  <c r="J72" i="1"/>
  <c r="J75" i="1" s="1"/>
  <c r="I72" i="1"/>
  <c r="I75" i="1" s="1"/>
  <c r="H72" i="1"/>
  <c r="H75" i="1" s="1"/>
  <c r="G72" i="1"/>
  <c r="G75" i="1" s="1"/>
  <c r="X58" i="2"/>
  <c r="W58" i="2"/>
  <c r="V58" i="2"/>
  <c r="U58" i="2"/>
  <c r="T58" i="2"/>
  <c r="S58" i="2"/>
  <c r="R58" i="2"/>
  <c r="Q58" i="2"/>
  <c r="P58" i="2"/>
  <c r="X57" i="2"/>
  <c r="W57" i="2"/>
  <c r="V57" i="2"/>
  <c r="U57" i="2"/>
  <c r="T57" i="2"/>
  <c r="S57" i="2"/>
  <c r="R57" i="2"/>
  <c r="Q57" i="2"/>
  <c r="P57" i="2"/>
  <c r="X55" i="2"/>
  <c r="W55" i="2"/>
  <c r="V55" i="2"/>
  <c r="U55" i="2"/>
  <c r="T55" i="2"/>
  <c r="S55" i="2"/>
  <c r="R55" i="2"/>
  <c r="Q55" i="2"/>
  <c r="P55" i="2"/>
  <c r="X54" i="2"/>
  <c r="W54" i="2"/>
  <c r="V54" i="2"/>
  <c r="X52" i="2"/>
  <c r="W52" i="2"/>
  <c r="V52" i="2"/>
  <c r="U52" i="2"/>
  <c r="T52" i="2"/>
  <c r="S52" i="2"/>
  <c r="R52" i="2"/>
  <c r="Q52" i="2"/>
  <c r="P52" i="2"/>
  <c r="X51" i="2"/>
  <c r="W51" i="2"/>
  <c r="V51" i="2"/>
  <c r="U51" i="2"/>
  <c r="T51" i="2"/>
  <c r="S51" i="2"/>
  <c r="R51" i="2"/>
  <c r="Q51" i="2"/>
  <c r="P51" i="2"/>
  <c r="X36" i="2"/>
  <c r="W36" i="2"/>
  <c r="V36" i="2"/>
  <c r="U36" i="2"/>
  <c r="T36" i="2"/>
  <c r="S36" i="2"/>
  <c r="R36" i="2"/>
  <c r="Q36" i="2"/>
  <c r="P36" i="2"/>
  <c r="X35" i="2"/>
  <c r="W35" i="2"/>
  <c r="V35" i="2"/>
  <c r="U35" i="2"/>
  <c r="T35" i="2"/>
  <c r="S35" i="2"/>
  <c r="R35" i="2"/>
  <c r="Q35" i="2"/>
  <c r="P35" i="2"/>
  <c r="X33" i="2"/>
  <c r="W33" i="2"/>
  <c r="V33" i="2"/>
  <c r="U33" i="2"/>
  <c r="T33" i="2"/>
  <c r="S33" i="2"/>
  <c r="R33" i="2"/>
  <c r="Q33" i="2"/>
  <c r="P33" i="2"/>
  <c r="X32" i="2"/>
  <c r="W32" i="2"/>
  <c r="V32" i="2"/>
  <c r="U32" i="2"/>
  <c r="T32" i="2"/>
  <c r="S32" i="2"/>
  <c r="R32" i="2"/>
  <c r="Q32" i="2"/>
  <c r="P32" i="2"/>
  <c r="X30" i="2"/>
  <c r="W30" i="2"/>
  <c r="V30" i="2"/>
  <c r="U30" i="2"/>
  <c r="T30" i="2"/>
  <c r="S30" i="2"/>
  <c r="R30" i="2"/>
  <c r="Q30" i="2"/>
  <c r="P30" i="2"/>
  <c r="X29" i="2"/>
  <c r="W29" i="2"/>
  <c r="V29" i="2"/>
  <c r="U29" i="2"/>
  <c r="T29" i="2"/>
  <c r="S29" i="2"/>
  <c r="R29" i="2"/>
  <c r="Q29" i="2"/>
  <c r="P29" i="2"/>
  <c r="X14" i="2"/>
  <c r="W14" i="2"/>
  <c r="V14" i="2"/>
  <c r="U14" i="2"/>
  <c r="T14" i="2"/>
  <c r="S14" i="2"/>
  <c r="R14" i="2"/>
  <c r="Q14" i="2"/>
  <c r="P14" i="2"/>
  <c r="X13" i="2"/>
  <c r="W13" i="2"/>
  <c r="V13" i="2"/>
  <c r="U13" i="2"/>
  <c r="T13" i="2"/>
  <c r="S13" i="2"/>
  <c r="R13" i="2"/>
  <c r="Q13" i="2"/>
  <c r="P13" i="2"/>
  <c r="X11" i="2"/>
  <c r="W11" i="2"/>
  <c r="V11" i="2"/>
  <c r="U11" i="2"/>
  <c r="T11" i="2"/>
  <c r="S11" i="2"/>
  <c r="R11" i="2"/>
  <c r="Q11" i="2"/>
  <c r="P11" i="2"/>
  <c r="X10" i="2"/>
  <c r="W10" i="2"/>
  <c r="V10" i="2"/>
  <c r="U10" i="2"/>
  <c r="T10" i="2"/>
  <c r="S10" i="2"/>
  <c r="R10" i="2"/>
  <c r="Q10" i="2"/>
  <c r="P10" i="2"/>
  <c r="X8" i="2"/>
  <c r="W8" i="2"/>
  <c r="U8" i="2"/>
  <c r="T8" i="2"/>
  <c r="S8" i="2"/>
  <c r="R8" i="2"/>
  <c r="Q8" i="2"/>
  <c r="P8" i="2"/>
  <c r="X7" i="2"/>
  <c r="W7" i="2"/>
  <c r="U7" i="2"/>
  <c r="T7" i="2"/>
  <c r="S7" i="2"/>
  <c r="R7" i="2"/>
  <c r="Q7" i="2"/>
  <c r="P7" i="2"/>
  <c r="Q60" i="2" l="1"/>
  <c r="Q62" i="2" s="1"/>
  <c r="J43" i="3"/>
  <c r="AA29" i="3"/>
  <c r="Q70" i="3"/>
  <c r="Q72" i="3" s="1"/>
  <c r="G75" i="3"/>
  <c r="Q38" i="3"/>
  <c r="Q40" i="3" s="1"/>
  <c r="Q74" i="3"/>
  <c r="AA8" i="3"/>
  <c r="Z8" i="3"/>
  <c r="AA54" i="3"/>
  <c r="Z54" i="3"/>
  <c r="Z10" i="3"/>
  <c r="AA10" i="3"/>
  <c r="AA11" i="3"/>
  <c r="Z11" i="3"/>
  <c r="AA7" i="3"/>
  <c r="Z7" i="3"/>
  <c r="Z13" i="3"/>
  <c r="AA13" i="3"/>
  <c r="AA57" i="3"/>
  <c r="Z57" i="3"/>
  <c r="Z36" i="3"/>
  <c r="AA36" i="3"/>
  <c r="Z14" i="3"/>
  <c r="AA14" i="3"/>
  <c r="Z33" i="3"/>
  <c r="AA33" i="3"/>
  <c r="AA51" i="3"/>
  <c r="Z51" i="3"/>
  <c r="Q42" i="3"/>
  <c r="Q61" i="3"/>
  <c r="Q63" i="3" s="1"/>
  <c r="G43" i="3"/>
  <c r="Z29" i="3"/>
  <c r="Z32" i="3"/>
  <c r="Z35" i="3"/>
  <c r="Q64" i="3"/>
  <c r="Q39" i="2"/>
  <c r="Q41" i="2" s="1"/>
  <c r="Q42" i="2"/>
  <c r="Y35" i="2"/>
  <c r="Q20" i="2"/>
  <c r="Q16" i="2"/>
  <c r="Q18" i="2" s="1"/>
  <c r="Q38" i="2"/>
  <c r="Q40" i="2" s="1"/>
  <c r="Q64" i="2"/>
  <c r="Y58" i="2"/>
  <c r="Z58" i="2" s="1"/>
  <c r="Q17" i="2"/>
  <c r="Q19" i="2" s="1"/>
  <c r="Q17" i="1"/>
  <c r="Q19" i="1" s="1"/>
  <c r="Q64" i="1"/>
  <c r="Q61" i="1"/>
  <c r="Q63" i="1" s="1"/>
  <c r="Q60" i="1"/>
  <c r="Q62" i="1" s="1"/>
  <c r="Q42" i="1"/>
  <c r="Q39" i="1"/>
  <c r="Q41" i="1" s="1"/>
  <c r="Q38" i="1"/>
  <c r="Q40" i="1" s="1"/>
  <c r="Q20" i="1"/>
  <c r="Q16" i="1"/>
  <c r="Q18" i="1" s="1"/>
  <c r="Q74" i="1"/>
  <c r="Q71" i="1"/>
  <c r="Q73" i="1" s="1"/>
  <c r="Q70" i="1"/>
  <c r="Q72" i="1" s="1"/>
  <c r="Q74" i="2"/>
  <c r="Q71" i="2"/>
  <c r="Q73" i="2" s="1"/>
  <c r="Q70" i="2"/>
  <c r="Q72" i="2" s="1"/>
  <c r="Y57" i="2"/>
  <c r="AA57" i="2" s="1"/>
  <c r="Y54" i="2"/>
  <c r="Z54" i="2" s="1"/>
  <c r="Y52" i="2"/>
  <c r="AA52" i="2" s="1"/>
  <c r="Y51" i="2"/>
  <c r="Z51" i="2" s="1"/>
  <c r="Z35" i="2"/>
  <c r="Y32" i="2"/>
  <c r="Z32" i="2" s="1"/>
  <c r="Y30" i="2"/>
  <c r="AA30" i="2" s="1"/>
  <c r="Y29" i="2"/>
  <c r="AA29" i="2" s="1"/>
  <c r="Y13" i="2"/>
  <c r="Z13" i="2" s="1"/>
  <c r="Y11" i="2"/>
  <c r="AA11" i="2" s="1"/>
  <c r="Y10" i="2"/>
  <c r="Z10" i="2" s="1"/>
  <c r="Y7" i="2"/>
  <c r="Z7" i="2" s="1"/>
  <c r="Y55" i="2"/>
  <c r="AA55" i="2" s="1"/>
  <c r="Y33" i="2"/>
  <c r="AA33" i="2" s="1"/>
  <c r="Y36" i="2"/>
  <c r="Z36" i="2" s="1"/>
  <c r="Y14" i="2"/>
  <c r="AA14" i="2" s="1"/>
  <c r="Y8" i="2"/>
  <c r="AA8" i="2" s="1"/>
  <c r="AA58" i="2"/>
  <c r="AA10" i="2"/>
  <c r="AA35" i="2"/>
  <c r="Z57" i="2" l="1"/>
  <c r="Z29" i="2"/>
  <c r="AA54" i="2"/>
  <c r="Z52" i="2"/>
  <c r="AA51" i="2"/>
  <c r="AA36" i="2"/>
  <c r="Z33" i="2"/>
  <c r="AA32" i="2"/>
  <c r="Z30" i="2"/>
  <c r="Z14" i="2"/>
  <c r="AA13" i="2"/>
  <c r="Z11" i="2"/>
  <c r="Z8" i="2"/>
  <c r="AA7" i="2"/>
  <c r="Z55" i="2"/>
  <c r="X58" i="1" l="1"/>
  <c r="W58" i="1"/>
  <c r="V58" i="1"/>
  <c r="U58" i="1"/>
  <c r="T58" i="1"/>
  <c r="S58" i="1"/>
  <c r="R58" i="1"/>
  <c r="Q58" i="1"/>
  <c r="P58" i="1"/>
  <c r="X57" i="1"/>
  <c r="W57" i="1"/>
  <c r="V57" i="1"/>
  <c r="U57" i="1"/>
  <c r="T57" i="1"/>
  <c r="S57" i="1"/>
  <c r="R57" i="1"/>
  <c r="Q57" i="1"/>
  <c r="P57" i="1"/>
  <c r="X55" i="1"/>
  <c r="W55" i="1"/>
  <c r="V55" i="1"/>
  <c r="U55" i="1"/>
  <c r="T55" i="1"/>
  <c r="S55" i="1"/>
  <c r="R55" i="1"/>
  <c r="Q55" i="1"/>
  <c r="P55" i="1"/>
  <c r="X54" i="1"/>
  <c r="W54" i="1"/>
  <c r="V54" i="1"/>
  <c r="U54" i="1"/>
  <c r="T54" i="1"/>
  <c r="S54" i="1"/>
  <c r="R54" i="1"/>
  <c r="Q54" i="1"/>
  <c r="P54" i="1"/>
  <c r="X52" i="1"/>
  <c r="W52" i="1"/>
  <c r="V52" i="1"/>
  <c r="U52" i="1"/>
  <c r="T52" i="1"/>
  <c r="S52" i="1"/>
  <c r="R52" i="1"/>
  <c r="Q52" i="1"/>
  <c r="P52" i="1"/>
  <c r="X51" i="1"/>
  <c r="W51" i="1"/>
  <c r="V51" i="1"/>
  <c r="U51" i="1"/>
  <c r="T51" i="1"/>
  <c r="S51" i="1"/>
  <c r="R51" i="1"/>
  <c r="Q51" i="1"/>
  <c r="P51" i="1"/>
  <c r="X36" i="1"/>
  <c r="W36" i="1"/>
  <c r="V36" i="1"/>
  <c r="U36" i="1"/>
  <c r="T36" i="1"/>
  <c r="S36" i="1"/>
  <c r="R36" i="1"/>
  <c r="Q36" i="1"/>
  <c r="P36" i="1"/>
  <c r="X35" i="1"/>
  <c r="W35" i="1"/>
  <c r="V35" i="1"/>
  <c r="U35" i="1"/>
  <c r="T35" i="1"/>
  <c r="S35" i="1"/>
  <c r="R35" i="1"/>
  <c r="Q35" i="1"/>
  <c r="P35" i="1"/>
  <c r="X33" i="1"/>
  <c r="W33" i="1"/>
  <c r="V33" i="1"/>
  <c r="U33" i="1"/>
  <c r="T33" i="1"/>
  <c r="S33" i="1"/>
  <c r="R33" i="1"/>
  <c r="Q33" i="1"/>
  <c r="P33" i="1"/>
  <c r="X32" i="1"/>
  <c r="W32" i="1"/>
  <c r="V32" i="1"/>
  <c r="U32" i="1"/>
  <c r="T32" i="1"/>
  <c r="S32" i="1"/>
  <c r="R32" i="1"/>
  <c r="Q32" i="1"/>
  <c r="P32" i="1"/>
  <c r="X30" i="1"/>
  <c r="W30" i="1"/>
  <c r="V30" i="1"/>
  <c r="U30" i="1"/>
  <c r="T30" i="1"/>
  <c r="S30" i="1"/>
  <c r="R30" i="1"/>
  <c r="Q30" i="1"/>
  <c r="P30" i="1"/>
  <c r="X29" i="1"/>
  <c r="W29" i="1"/>
  <c r="V29" i="1"/>
  <c r="U29" i="1"/>
  <c r="T29" i="1"/>
  <c r="S29" i="1"/>
  <c r="R29" i="1"/>
  <c r="Q29" i="1"/>
  <c r="P29" i="1"/>
  <c r="S13" i="1"/>
  <c r="V13" i="1"/>
  <c r="U13" i="1"/>
  <c r="W13" i="1"/>
  <c r="T13" i="1"/>
  <c r="X13" i="1"/>
  <c r="R13" i="1"/>
  <c r="Q13" i="1"/>
  <c r="P13" i="1"/>
  <c r="S14" i="1"/>
  <c r="V14" i="1"/>
  <c r="U14" i="1"/>
  <c r="W14" i="1"/>
  <c r="T14" i="1"/>
  <c r="X14" i="1"/>
  <c r="R14" i="1"/>
  <c r="Q14" i="1"/>
  <c r="P14" i="1"/>
  <c r="S11" i="1"/>
  <c r="V11" i="1"/>
  <c r="U11" i="1"/>
  <c r="W11" i="1"/>
  <c r="T11" i="1"/>
  <c r="X11" i="1"/>
  <c r="R11" i="1"/>
  <c r="Q11" i="1"/>
  <c r="P11" i="1"/>
  <c r="S10" i="1"/>
  <c r="V10" i="1"/>
  <c r="U10" i="1"/>
  <c r="W10" i="1"/>
  <c r="T10" i="1"/>
  <c r="X10" i="1"/>
  <c r="R10" i="1"/>
  <c r="Q10" i="1"/>
  <c r="P10" i="1"/>
  <c r="S8" i="1"/>
  <c r="V8" i="1"/>
  <c r="U8" i="1"/>
  <c r="W8" i="1"/>
  <c r="T8" i="1"/>
  <c r="X8" i="1"/>
  <c r="R8" i="1"/>
  <c r="Q8" i="1"/>
  <c r="P8" i="1"/>
  <c r="S7" i="1"/>
  <c r="V7" i="1"/>
  <c r="U7" i="1"/>
  <c r="W7" i="1"/>
  <c r="T7" i="1"/>
  <c r="X7" i="1"/>
  <c r="R7" i="1"/>
  <c r="Q7" i="1"/>
  <c r="P7" i="1"/>
  <c r="Y57" i="1" l="1"/>
  <c r="Z57" i="1" s="1"/>
  <c r="Y55" i="1"/>
  <c r="Z55" i="1" s="1"/>
  <c r="Y54" i="1"/>
  <c r="Z54" i="1" s="1"/>
  <c r="Y52" i="1"/>
  <c r="AA52" i="1" s="1"/>
  <c r="Y51" i="1"/>
  <c r="AA51" i="1" s="1"/>
  <c r="Y33" i="1"/>
  <c r="Z33" i="1" s="1"/>
  <c r="Y32" i="1"/>
  <c r="AA32" i="1" s="1"/>
  <c r="Y30" i="1"/>
  <c r="AA30" i="1" s="1"/>
  <c r="Y29" i="1"/>
  <c r="AA29" i="1" s="1"/>
  <c r="Y13" i="1"/>
  <c r="AA13" i="1" s="1"/>
  <c r="Y35" i="1"/>
  <c r="AA35" i="1" s="1"/>
  <c r="Y58" i="1"/>
  <c r="Z58" i="1" s="1"/>
  <c r="Y36" i="1"/>
  <c r="AA36" i="1" s="1"/>
  <c r="Y11" i="1"/>
  <c r="AA11" i="1" s="1"/>
  <c r="Y10" i="1"/>
  <c r="AA10" i="1" s="1"/>
  <c r="AA58" i="1"/>
  <c r="Y7" i="1"/>
  <c r="AA7" i="1" s="1"/>
  <c r="Y8" i="1"/>
  <c r="Z8" i="1" s="1"/>
  <c r="Y14" i="1"/>
  <c r="Z14" i="1" s="1"/>
  <c r="Z13" i="1"/>
  <c r="Z35" i="1" l="1"/>
  <c r="Z52" i="1"/>
  <c r="AA33" i="1"/>
  <c r="AA57" i="1"/>
  <c r="AA55" i="1"/>
  <c r="AA54" i="1"/>
  <c r="Z51" i="1"/>
  <c r="Z32" i="1"/>
  <c r="Z36" i="1"/>
  <c r="Z30" i="1"/>
  <c r="Z29" i="1"/>
  <c r="AA14" i="1"/>
  <c r="Z11" i="1"/>
  <c r="Z7" i="1"/>
  <c r="Z10" i="1"/>
  <c r="AA8" i="1"/>
</calcChain>
</file>

<file path=xl/sharedStrings.xml><?xml version="1.0" encoding="utf-8"?>
<sst xmlns="http://schemas.openxmlformats.org/spreadsheetml/2006/main" count="1466" uniqueCount="61">
  <si>
    <t>One-tailed POD analysis - PCR screening</t>
  </si>
  <si>
    <t>PCR Screening</t>
  </si>
  <si>
    <t>True sample status</t>
  </si>
  <si>
    <t>Alternative presumptive (AP)</t>
  </si>
  <si>
    <t>Alternative final (AF)</t>
  </si>
  <si>
    <t>Reference (R)</t>
  </si>
  <si>
    <t>dPOD (AF, R)</t>
  </si>
  <si>
    <t>Pass / 
Fail</t>
  </si>
  <si>
    <t>Category</t>
  </si>
  <si>
    <t>Type</t>
  </si>
  <si>
    <t>Commodity</t>
  </si>
  <si>
    <t>Co-inoculation</t>
  </si>
  <si>
    <t>Spike LVL</t>
  </si>
  <si>
    <t>TP</t>
  </si>
  <si>
    <t>TN</t>
  </si>
  <si>
    <t>FP</t>
  </si>
  <si>
    <t>FN</t>
  </si>
  <si>
    <t>POD</t>
  </si>
  <si>
    <t>LCL</t>
  </si>
  <si>
    <t>UCL</t>
  </si>
  <si>
    <t>dPOD</t>
  </si>
  <si>
    <t>Dairy</t>
  </si>
  <si>
    <t>Fermented</t>
  </si>
  <si>
    <t>Yogurt, kefir</t>
  </si>
  <si>
    <t>-</t>
  </si>
  <si>
    <t>Neg</t>
  </si>
  <si>
    <t>--</t>
  </si>
  <si>
    <t>Low</t>
  </si>
  <si>
    <t xml:space="preserve">PASS  </t>
  </si>
  <si>
    <t>High</t>
  </si>
  <si>
    <t>Heat-processed</t>
  </si>
  <si>
    <t>2%MF milk, cheese curds</t>
  </si>
  <si>
    <t>Raw</t>
  </si>
  <si>
    <t>Alfred le Fermier, Brie de Meaux</t>
  </si>
  <si>
    <t>Yes</t>
  </si>
  <si>
    <t>Final sample status</t>
  </si>
  <si>
    <t>Sensitivity</t>
  </si>
  <si>
    <t>Specificity</t>
  </si>
  <si>
    <t>FN rate</t>
  </si>
  <si>
    <t>FP rate</t>
  </si>
  <si>
    <t>Agreement</t>
  </si>
  <si>
    <t>Fruits &amp; Vegetables</t>
  </si>
  <si>
    <r>
      <t xml:space="preserve">Nuts and nut meats </t>
    </r>
    <r>
      <rPr>
        <b/>
        <sz val="10"/>
        <rFont val="Aptos"/>
        <family val="2"/>
      </rPr>
      <t>*</t>
    </r>
  </si>
  <si>
    <t>Peanut butter, walnuts</t>
  </si>
  <si>
    <t>FAIL</t>
  </si>
  <si>
    <t>Raw and raw processed</t>
  </si>
  <si>
    <t>Romaine hearts, baby spinach</t>
  </si>
  <si>
    <t>Juices</t>
  </si>
  <si>
    <t>Deep green vegetable juice, apple cider</t>
  </si>
  <si>
    <r>
      <rPr>
        <b/>
        <sz val="10"/>
        <rFont val="Aptos"/>
        <family val="2"/>
      </rPr>
      <t>*</t>
    </r>
    <r>
      <rPr>
        <sz val="10"/>
        <rFont val="Aptos"/>
        <family val="2"/>
      </rPr>
      <t xml:space="preserve"> The recorded performance was obtained with Puregene only</t>
    </r>
  </si>
  <si>
    <t>Raw meats</t>
  </si>
  <si>
    <t>Raw, unprocessed</t>
  </si>
  <si>
    <t>Beef blade roast, pork loin</t>
  </si>
  <si>
    <t>Raw, processed</t>
  </si>
  <si>
    <t>Lean ground beef, lean ground pork</t>
  </si>
  <si>
    <t>Raw, frozen</t>
  </si>
  <si>
    <t>Pork burgers, beef burgers, sliced beef</t>
  </si>
  <si>
    <t>Overall</t>
  </si>
  <si>
    <t>One-tailed POD analysis - Isolation</t>
  </si>
  <si>
    <t>Isolation</t>
  </si>
  <si>
    <t>Nuts and nut meats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</si>
</sst>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0"/>
      <name val="Arial"/>
    </font>
    <font>
      <sz val="10"/>
      <name val="Arial"/>
      <family val="2"/>
    </font>
    <font>
      <sz val="10"/>
      <name val="Aptos"/>
      <family val="2"/>
    </font>
    <font>
      <sz val="10"/>
      <color indexed="8"/>
      <name val="Aptos"/>
      <family val="2"/>
    </font>
    <font>
      <b/>
      <sz val="10"/>
      <name val="Aptos"/>
      <family val="2"/>
    </font>
    <font>
      <b/>
      <sz val="10"/>
      <color indexed="8"/>
      <name val="Aptos"/>
      <family val="2"/>
    </font>
    <font>
      <b/>
      <sz val="10"/>
      <color rgb="FF00B050"/>
      <name val="Aptos"/>
      <family val="2"/>
    </font>
    <font>
      <sz val="10"/>
      <color theme="1"/>
      <name val="Aptos"/>
      <family val="2"/>
    </font>
    <font>
      <sz val="18"/>
      <name val="Aptos"/>
      <family val="2"/>
    </font>
    <font>
      <sz val="10"/>
      <color rgb="FFFF0000"/>
      <name val="Aptos"/>
      <family val="2"/>
    </font>
  </fonts>
  <fills count="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10">
    <xf numFmtId="0" fontId="0" fillId="0" borderId="0" xfId="0"/>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2" fillId="0" borderId="0" xfId="0" applyFont="1" applyAlignment="1">
      <alignment horizontal="left" vertical="center" wrapText="1"/>
    </xf>
    <xf numFmtId="0" fontId="4" fillId="2" borderId="26"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4" fillId="2" borderId="37" xfId="0" applyFont="1" applyFill="1" applyBorder="1" applyAlignment="1">
      <alignment horizontal="center" vertical="center" wrapText="1"/>
    </xf>
    <xf numFmtId="0" fontId="4" fillId="2" borderId="38" xfId="0" applyFont="1" applyFill="1" applyBorder="1" applyAlignment="1">
      <alignment horizontal="center" vertical="center" wrapText="1"/>
    </xf>
    <xf numFmtId="0" fontId="4" fillId="2" borderId="40"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4" fillId="0" borderId="0" xfId="0" applyFont="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2" fillId="0" borderId="30" xfId="0" quotePrefix="1"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0" fontId="2" fillId="0" borderId="30" xfId="0" applyFont="1" applyBorder="1" applyAlignment="1">
      <alignment horizontal="center" vertical="center"/>
    </xf>
    <xf numFmtId="0" fontId="2" fillId="0" borderId="10" xfId="0" applyFont="1" applyBorder="1" applyAlignment="1">
      <alignment horizontal="center" vertical="center"/>
    </xf>
    <xf numFmtId="0" fontId="2" fillId="0" borderId="12" xfId="0" applyFont="1" applyBorder="1" applyAlignment="1">
      <alignment horizontal="center" vertical="center"/>
    </xf>
    <xf numFmtId="2" fontId="2" fillId="0" borderId="10" xfId="0" quotePrefix="1" applyNumberFormat="1" applyFont="1" applyBorder="1" applyAlignment="1">
      <alignment horizontal="center" vertical="center"/>
    </xf>
    <xf numFmtId="2" fontId="2" fillId="0" borderId="11" xfId="0" applyNumberFormat="1" applyFont="1" applyBorder="1" applyAlignment="1">
      <alignment horizontal="center" vertical="center"/>
    </xf>
    <xf numFmtId="2" fontId="2" fillId="0" borderId="12" xfId="0" applyNumberFormat="1" applyFont="1" applyBorder="1" applyAlignment="1">
      <alignment horizontal="center" vertical="center"/>
    </xf>
    <xf numFmtId="2" fontId="2" fillId="0" borderId="10" xfId="0" applyNumberFormat="1" applyFont="1" applyBorder="1" applyAlignment="1">
      <alignment horizontal="center" vertical="center"/>
    </xf>
    <xf numFmtId="2" fontId="2" fillId="0" borderId="13" xfId="0" applyNumberFormat="1" applyFont="1" applyBorder="1" applyAlignment="1">
      <alignment horizontal="center" vertical="center"/>
    </xf>
    <xf numFmtId="0" fontId="3"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2" fontId="2" fillId="0" borderId="16" xfId="0" applyNumberFormat="1" applyFont="1" applyBorder="1" applyAlignment="1">
      <alignment horizontal="center" vertical="center"/>
    </xf>
    <xf numFmtId="2" fontId="2" fillId="0" borderId="14" xfId="0" applyNumberFormat="1" applyFont="1" applyBorder="1" applyAlignment="1">
      <alignment horizontal="center" vertical="center"/>
    </xf>
    <xf numFmtId="2" fontId="2" fillId="0" borderId="15" xfId="0" applyNumberFormat="1" applyFont="1" applyBorder="1" applyAlignment="1">
      <alignment horizontal="center" vertical="center"/>
    </xf>
    <xf numFmtId="2" fontId="2" fillId="0" borderId="17" xfId="0" applyNumberFormat="1" applyFont="1" applyBorder="1" applyAlignment="1">
      <alignment horizontal="center" vertical="center"/>
    </xf>
    <xf numFmtId="0" fontId="3" fillId="0" borderId="23" xfId="0" applyFont="1" applyBorder="1" applyAlignment="1">
      <alignment horizontal="center" vertical="center"/>
    </xf>
    <xf numFmtId="0" fontId="2" fillId="0" borderId="0" xfId="0" applyFont="1" applyAlignment="1">
      <alignment horizontal="left"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11" xfId="0" quotePrefix="1" applyFont="1" applyBorder="1" applyAlignment="1">
      <alignment horizontal="center" vertical="center"/>
    </xf>
    <xf numFmtId="0" fontId="2" fillId="0" borderId="11" xfId="0" applyFont="1" applyBorder="1" applyAlignment="1">
      <alignment horizontal="center" vertical="center"/>
    </xf>
    <xf numFmtId="0" fontId="2" fillId="0" borderId="5" xfId="0" quotePrefix="1" applyFont="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2" fontId="2" fillId="0" borderId="4" xfId="0" applyNumberFormat="1" applyFont="1" applyBorder="1" applyAlignment="1">
      <alignment horizontal="center" vertical="center"/>
    </xf>
    <xf numFmtId="2" fontId="2" fillId="0" borderId="5" xfId="0" applyNumberFormat="1" applyFont="1" applyBorder="1" applyAlignment="1">
      <alignment horizontal="center" vertical="center"/>
    </xf>
    <xf numFmtId="2" fontId="2" fillId="0" borderId="6" xfId="0" applyNumberFormat="1" applyFont="1" applyBorder="1" applyAlignment="1">
      <alignment horizontal="center" vertical="center"/>
    </xf>
    <xf numFmtId="2" fontId="2" fillId="0" borderId="8" xfId="0" applyNumberFormat="1" applyFont="1" applyBorder="1" applyAlignment="1">
      <alignment horizontal="center" vertical="center"/>
    </xf>
    <xf numFmtId="0" fontId="2" fillId="0" borderId="19" xfId="0" applyFont="1" applyBorder="1" applyAlignment="1">
      <alignment horizontal="center" vertical="center"/>
    </xf>
    <xf numFmtId="2" fontId="2" fillId="0" borderId="19" xfId="0" applyNumberFormat="1" applyFont="1" applyBorder="1" applyAlignment="1">
      <alignment horizontal="center" vertical="center"/>
    </xf>
    <xf numFmtId="2" fontId="2" fillId="0" borderId="20" xfId="0" applyNumberFormat="1" applyFont="1" applyBorder="1" applyAlignment="1">
      <alignment horizontal="center" vertical="center"/>
    </xf>
    <xf numFmtId="2" fontId="2" fillId="0" borderId="21" xfId="0" applyNumberFormat="1" applyFont="1" applyBorder="1" applyAlignment="1">
      <alignment horizontal="center" vertical="center"/>
    </xf>
    <xf numFmtId="2" fontId="2" fillId="0" borderId="24" xfId="0" applyNumberFormat="1" applyFont="1" applyBorder="1" applyAlignment="1">
      <alignment horizontal="center" vertical="center"/>
    </xf>
    <xf numFmtId="0" fontId="3" fillId="0" borderId="25" xfId="0" applyFont="1" applyBorder="1" applyAlignment="1">
      <alignment horizontal="center" vertical="center"/>
    </xf>
    <xf numFmtId="2" fontId="2" fillId="0" borderId="0" xfId="0" applyNumberFormat="1" applyFont="1" applyAlignment="1">
      <alignment horizontal="center" vertical="center"/>
    </xf>
    <xf numFmtId="0" fontId="3" fillId="0" borderId="0" xfId="0" applyFont="1" applyAlignment="1">
      <alignment horizontal="center" vertical="center"/>
    </xf>
    <xf numFmtId="0" fontId="4" fillId="0" borderId="37"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39" xfId="0" applyFont="1" applyBorder="1" applyAlignment="1">
      <alignment horizontal="center" vertical="center" wrapText="1"/>
    </xf>
    <xf numFmtId="0" fontId="2" fillId="0" borderId="0" xfId="0" applyFont="1" applyAlignment="1">
      <alignment horizontal="right" vertical="center"/>
    </xf>
    <xf numFmtId="2" fontId="6" fillId="0" borderId="0" xfId="0" applyNumberFormat="1" applyFont="1" applyAlignment="1">
      <alignment horizontal="left" vertical="center"/>
    </xf>
    <xf numFmtId="0" fontId="4" fillId="0" borderId="0" xfId="0" applyFont="1" applyAlignment="1">
      <alignment vertical="center"/>
    </xf>
    <xf numFmtId="0" fontId="7" fillId="0" borderId="10" xfId="0" applyFont="1" applyBorder="1" applyAlignment="1">
      <alignment vertical="center"/>
    </xf>
    <xf numFmtId="164" fontId="7" fillId="0" borderId="12" xfId="1" applyNumberFormat="1" applyFont="1" applyBorder="1" applyAlignment="1">
      <alignment horizontal="right" vertical="center"/>
    </xf>
    <xf numFmtId="0" fontId="7" fillId="0" borderId="16" xfId="0" applyFont="1" applyBorder="1" applyAlignment="1">
      <alignment vertical="center"/>
    </xf>
    <xf numFmtId="164" fontId="7" fillId="0" borderId="15" xfId="1" applyNumberFormat="1" applyFont="1" applyBorder="1" applyAlignment="1">
      <alignment horizontal="right" vertical="center"/>
    </xf>
    <xf numFmtId="164" fontId="7" fillId="0" borderId="15" xfId="1" quotePrefix="1" applyNumberFormat="1" applyFont="1" applyBorder="1" applyAlignment="1">
      <alignment horizontal="right" vertical="center"/>
    </xf>
    <xf numFmtId="0" fontId="7" fillId="0" borderId="19" xfId="0" applyFont="1" applyBorder="1" applyAlignment="1">
      <alignment vertical="center"/>
    </xf>
    <xf numFmtId="164" fontId="7" fillId="0" borderId="21" xfId="1" applyNumberFormat="1" applyFont="1" applyBorder="1" applyAlignment="1">
      <alignment horizontal="right" vertical="center"/>
    </xf>
    <xf numFmtId="0" fontId="8" fillId="0" borderId="0" xfId="0" applyFont="1" applyAlignment="1">
      <alignment vertical="center"/>
    </xf>
    <xf numFmtId="0" fontId="2" fillId="3" borderId="1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21" xfId="0" applyFont="1" applyFill="1" applyBorder="1" applyAlignment="1">
      <alignment horizontal="center" vertical="center"/>
    </xf>
    <xf numFmtId="0" fontId="9" fillId="0" borderId="23" xfId="0" applyFont="1" applyBorder="1" applyAlignment="1">
      <alignment horizontal="center" vertical="center"/>
    </xf>
    <xf numFmtId="0" fontId="3" fillId="0" borderId="9" xfId="0" applyFont="1" applyBorder="1" applyAlignment="1">
      <alignment horizontal="center" vertical="center"/>
    </xf>
    <xf numFmtId="0" fontId="3" fillId="0" borderId="41" xfId="0" applyFont="1" applyBorder="1" applyAlignment="1">
      <alignment horizontal="center" vertical="center"/>
    </xf>
    <xf numFmtId="0" fontId="9" fillId="0" borderId="42" xfId="0" applyFont="1" applyBorder="1" applyAlignment="1">
      <alignment horizontal="center" vertical="center"/>
    </xf>
    <xf numFmtId="0" fontId="5" fillId="2" borderId="9" xfId="0" applyFont="1" applyFill="1" applyBorder="1" applyAlignment="1">
      <alignment horizontal="center" vertical="center" wrapText="1"/>
    </xf>
    <xf numFmtId="0" fontId="5" fillId="2" borderId="18" xfId="0" applyFont="1" applyFill="1" applyBorder="1" applyAlignment="1">
      <alignment horizontal="center" vertical="center"/>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4" fillId="2" borderId="26"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29" xfId="0" applyFont="1" applyFill="1" applyBorder="1" applyAlignment="1">
      <alignment horizontal="center" vertical="center"/>
    </xf>
    <xf numFmtId="0" fontId="4" fillId="2" borderId="13" xfId="0" applyFont="1" applyFill="1" applyBorder="1" applyAlignment="1">
      <alignment horizontal="center" vertical="center"/>
    </xf>
    <xf numFmtId="0" fontId="4"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8" xfId="0" applyFont="1" applyBorder="1" applyAlignment="1">
      <alignment horizontal="center" vertical="center" wrapText="1"/>
    </xf>
  </cellXfs>
  <cellStyles count="2">
    <cellStyle name="Normal" xfId="0" builtinId="0"/>
    <cellStyle name="Per cent" xfId="1" builtinId="5"/>
  </cellStyles>
  <dxfs count="76">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866774</xdr:colOff>
      <xdr:row>68</xdr:row>
      <xdr:rowOff>0</xdr:rowOff>
    </xdr:from>
    <xdr:to>
      <xdr:col>4</xdr:col>
      <xdr:colOff>1066799</xdr:colOff>
      <xdr:row>79</xdr:row>
      <xdr:rowOff>200024</xdr:rowOff>
    </xdr:to>
    <xdr:sp macro="" textlink="">
      <xdr:nvSpPr>
        <xdr:cNvPr id="2" name="ZoneTexte 1">
          <a:extLst>
            <a:ext uri="{FF2B5EF4-FFF2-40B4-BE49-F238E27FC236}">
              <a16:creationId xmlns:a16="http://schemas.microsoft.com/office/drawing/2014/main" id="{07CFC92E-C8A2-4A6B-B60E-9776CE62F5E2}"/>
            </a:ext>
          </a:extLst>
        </xdr:cNvPr>
        <xdr:cNvSpPr txBox="1"/>
      </xdr:nvSpPr>
      <xdr:spPr>
        <a:xfrm>
          <a:off x="866774" y="13487400"/>
          <a:ext cx="4048125" cy="23653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a:latin typeface="Aptos" panose="020B0004020202020204" pitchFamily="34" charset="0"/>
            </a:rPr>
            <a:t>TAKE</a:t>
          </a:r>
          <a:r>
            <a:rPr lang="fr-CA" sz="1100" baseline="0">
              <a:latin typeface="Aptos" panose="020B0004020202020204" pitchFamily="34" charset="0"/>
            </a:rPr>
            <a:t> HOME MESSAGE :</a:t>
          </a:r>
        </a:p>
        <a:p>
          <a:endParaRPr lang="fr-CA" sz="1100" baseline="0">
            <a:latin typeface="Aptos" panose="020B0004020202020204" pitchFamily="34" charset="0"/>
          </a:endParaRPr>
        </a:p>
        <a:p>
          <a:r>
            <a:rPr lang="fr-CA" sz="1100" baseline="0">
              <a:latin typeface="Aptos" panose="020B0004020202020204" pitchFamily="34" charset="0"/>
            </a:rPr>
            <a:t>PCR screening is extremely robust. There was only 1 false negative in the entire validation study. It happened with cheese curds at the low spiking level with both extraction protocols. Interestingly, no positive pools were obtained from that sample either; isolation was negative. Only plate sweeps revealed the positive status of that sample. </a:t>
          </a:r>
        </a:p>
        <a:p>
          <a:endParaRPr lang="fr-CA" sz="1100" baseline="0">
            <a:latin typeface="Aptos" panose="020B0004020202020204" pitchFamily="34" charset="0"/>
          </a:endParaRPr>
        </a:p>
        <a:p>
          <a:r>
            <a:rPr lang="fr-CA" sz="1100" baseline="0">
              <a:latin typeface="Aptos" panose="020B0004020202020204" pitchFamily="34" charset="0"/>
            </a:rPr>
            <a:t>Instagene extractions are easier and generally sufficient. Nuts was the only food item for which Puregene extractions were found to be necessary. </a:t>
          </a:r>
          <a:endParaRPr lang="fr-CA" sz="1100">
            <a:latin typeface="Aptos"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866774</xdr:colOff>
      <xdr:row>68</xdr:row>
      <xdr:rowOff>0</xdr:rowOff>
    </xdr:from>
    <xdr:to>
      <xdr:col>4</xdr:col>
      <xdr:colOff>1066799</xdr:colOff>
      <xdr:row>79</xdr:row>
      <xdr:rowOff>200024</xdr:rowOff>
    </xdr:to>
    <xdr:sp macro="" textlink="">
      <xdr:nvSpPr>
        <xdr:cNvPr id="2" name="ZoneTexte 1">
          <a:extLst>
            <a:ext uri="{FF2B5EF4-FFF2-40B4-BE49-F238E27FC236}">
              <a16:creationId xmlns:a16="http://schemas.microsoft.com/office/drawing/2014/main" id="{1D9BB5FC-0BFB-C111-E3D2-2F7E0C3FD136}"/>
            </a:ext>
          </a:extLst>
        </xdr:cNvPr>
        <xdr:cNvSpPr txBox="1"/>
      </xdr:nvSpPr>
      <xdr:spPr>
        <a:xfrm>
          <a:off x="866774" y="13830298"/>
          <a:ext cx="3876675" cy="24003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a:latin typeface="Aptos" panose="020B0004020202020204" pitchFamily="34" charset="0"/>
            </a:rPr>
            <a:t>TAKE</a:t>
          </a:r>
          <a:r>
            <a:rPr lang="fr-CA" sz="1100" baseline="0">
              <a:latin typeface="Aptos" panose="020B0004020202020204" pitchFamily="34" charset="0"/>
            </a:rPr>
            <a:t> HOME MESSAGE :</a:t>
          </a:r>
        </a:p>
        <a:p>
          <a:endParaRPr lang="fr-CA" sz="1100" baseline="0">
            <a:latin typeface="Aptos" panose="020B0004020202020204" pitchFamily="34" charset="0"/>
          </a:endParaRPr>
        </a:p>
        <a:p>
          <a:r>
            <a:rPr lang="fr-CA" sz="1100" baseline="0">
              <a:latin typeface="Aptos" panose="020B0004020202020204" pitchFamily="34" charset="0"/>
            </a:rPr>
            <a:t>PCR screening is extremely robust. There was only 1 false negative in the entire validation study. It happened with cheese curds at the low spiking level with both extraction protocols. Interestingly, no positive pools were obtained from that sample either; isolation was negative. Only plate sweeps revealed the positive status of that sample. </a:t>
          </a:r>
        </a:p>
        <a:p>
          <a:endParaRPr lang="fr-CA" sz="1100" baseline="0">
            <a:latin typeface="Aptos" panose="020B0004020202020204" pitchFamily="34" charset="0"/>
          </a:endParaRPr>
        </a:p>
        <a:p>
          <a:r>
            <a:rPr lang="fr-CA" sz="1100" baseline="0">
              <a:latin typeface="Aptos" panose="020B0004020202020204" pitchFamily="34" charset="0"/>
            </a:rPr>
            <a:t>Instagene extractions are easier and generally sufficient. Nuts was the only food item for which Puregene extractions were found to be necessary. </a:t>
          </a:r>
          <a:endParaRPr lang="fr-CA" sz="1100">
            <a:latin typeface="Aptos" panose="020B00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68</xdr:row>
      <xdr:rowOff>0</xdr:rowOff>
    </xdr:from>
    <xdr:to>
      <xdr:col>5</xdr:col>
      <xdr:colOff>0</xdr:colOff>
      <xdr:row>87</xdr:row>
      <xdr:rowOff>0</xdr:rowOff>
    </xdr:to>
    <xdr:sp macro="" textlink="">
      <xdr:nvSpPr>
        <xdr:cNvPr id="2" name="ZoneTexte 1">
          <a:extLst>
            <a:ext uri="{FF2B5EF4-FFF2-40B4-BE49-F238E27FC236}">
              <a16:creationId xmlns:a16="http://schemas.microsoft.com/office/drawing/2014/main" id="{F5BEB9F7-0B32-4729-B880-889117053E3F}"/>
            </a:ext>
          </a:extLst>
        </xdr:cNvPr>
        <xdr:cNvSpPr txBox="1"/>
      </xdr:nvSpPr>
      <xdr:spPr>
        <a:xfrm>
          <a:off x="866775" y="13630275"/>
          <a:ext cx="3876675" cy="380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a:t>TAKE</a:t>
          </a:r>
          <a:r>
            <a:rPr lang="fr-CA" sz="1100" baseline="0"/>
            <a:t> HOME MESSAGE :</a:t>
          </a:r>
        </a:p>
        <a:p>
          <a:endParaRPr lang="fr-CA" sz="1100" baseline="0"/>
        </a:p>
        <a:p>
          <a:r>
            <a:rPr lang="fr-CA" sz="1100" baseline="0"/>
            <a:t>A total of 15 FN were observed in the entire study. For 14 of them, the PCR screening was positive. This indicates that the issue essentially lies with the probability of picking positive colonies when assembling  pools. That problem is not new and plagued MFLP-52 as well which works wih the same basic principles. </a:t>
          </a:r>
        </a:p>
        <a:p>
          <a:endParaRPr lang="fr-CA" sz="1100" baseline="0"/>
        </a:p>
        <a:p>
          <a:r>
            <a:rPr lang="fr-CA" sz="1100" baseline="0"/>
            <a:t>The majority of the 14 FN were observed with two food types, raw ground meat (6 FN) and raw milk cheese (7 FN). In both of these foods isolation was challenging due to the presence of other mirobiota on the isolation plates which reduces the probability of selecting VTEC colonies.</a:t>
          </a:r>
          <a:r>
            <a:rPr lang="fr-CA" sz="1100" i="0" baseline="0"/>
            <a:t> </a:t>
          </a:r>
        </a:p>
        <a:p>
          <a:endParaRPr lang="fr-CA" sz="1100" i="0" baseline="0"/>
        </a:p>
        <a:p>
          <a:r>
            <a:rPr lang="fr-CA" sz="1100" i="0" baseline="0"/>
            <a:t>This observation points to the fact that when no positive isolates are obtained out of 6 pools from a vt screen-positive enrichment, it may be worthwhile to pursue isolation efforts further. Indeed, no FP has been recorded at the PCR screening stage. The probability is very high that VTEC cells are present in such enrichments, but their proportion may be low relative to competing microflora. </a:t>
          </a:r>
        </a:p>
        <a:p>
          <a:endParaRPr lang="fr-CA"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68</xdr:row>
      <xdr:rowOff>0</xdr:rowOff>
    </xdr:from>
    <xdr:to>
      <xdr:col>5</xdr:col>
      <xdr:colOff>0</xdr:colOff>
      <xdr:row>87</xdr:row>
      <xdr:rowOff>0</xdr:rowOff>
    </xdr:to>
    <xdr:sp macro="" textlink="">
      <xdr:nvSpPr>
        <xdr:cNvPr id="2" name="ZoneTexte 1">
          <a:extLst>
            <a:ext uri="{FF2B5EF4-FFF2-40B4-BE49-F238E27FC236}">
              <a16:creationId xmlns:a16="http://schemas.microsoft.com/office/drawing/2014/main" id="{9261F8B6-0A0A-4C25-897B-BCB98B0F8D68}"/>
            </a:ext>
          </a:extLst>
        </xdr:cNvPr>
        <xdr:cNvSpPr txBox="1"/>
      </xdr:nvSpPr>
      <xdr:spPr>
        <a:xfrm>
          <a:off x="904875" y="13696950"/>
          <a:ext cx="4048125" cy="380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a:t>TAKE</a:t>
          </a:r>
          <a:r>
            <a:rPr lang="fr-CA" sz="1100" baseline="0"/>
            <a:t> HOME MESSAGE :</a:t>
          </a:r>
        </a:p>
        <a:p>
          <a:endParaRPr lang="fr-CA" sz="1100" baseline="0"/>
        </a:p>
        <a:p>
          <a:r>
            <a:rPr lang="fr-CA" sz="1100" baseline="0"/>
            <a:t>Of 15 FN results, 14 were due to a failure to isolate  total of 8 FN were observed in the entire study. For 7 of them, the PCR screening was positive. This indicates that the issue essentially lies with the probability of picking positive colonies when assembling  pools. That problem is not new and plagued MFLP-52 as well which works with the same basic principles. </a:t>
          </a:r>
        </a:p>
        <a:p>
          <a:endParaRPr lang="fr-CA" sz="1100" baseline="0"/>
        </a:p>
        <a:p>
          <a:r>
            <a:rPr lang="fr-CA" sz="1100" baseline="0"/>
            <a:t>Interestingly, 6 of the 8 FN were observed with the same food type (raw ground meat) which happened to be co-inoculated with </a:t>
          </a:r>
          <a:r>
            <a:rPr lang="fr-CA" sz="1100" i="1" baseline="0"/>
            <a:t>E. coli, </a:t>
          </a:r>
          <a:r>
            <a:rPr lang="fr-CA" sz="1100" i="0" baseline="0"/>
            <a:t>which can grow on Rainbow and MAC-T. This makes isolation of positive colonies difficult as they are easily outnumbered by non-target colonies. </a:t>
          </a:r>
        </a:p>
        <a:p>
          <a:endParaRPr lang="fr-CA" sz="1100" i="0" baseline="0"/>
        </a:p>
        <a:p>
          <a:r>
            <a:rPr lang="fr-CA" sz="1100" i="0" baseline="0"/>
            <a:t>This observation points to the fact that when no positive isolates are obtained out of 6 pools from a vt screen-positive enrichment, it may be worthwhile to pursue isolation efforts further. Indeed, no FP has been recorded at the PCR screening stage. The probability is very high that VTEC cells are present in such enrichments, but their proportion may be low relative to competing microflora. </a:t>
          </a:r>
        </a:p>
        <a:p>
          <a:endParaRPr lang="fr-CA" sz="1100" baseline="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9C4FF-B199-42A5-999E-C65F9C365D11}">
  <dimension ref="B2:AD75"/>
  <sheetViews>
    <sheetView topLeftCell="H6" zoomScaleNormal="100" workbookViewId="0">
      <selection activeCell="AB29" sqref="AB29"/>
    </sheetView>
  </sheetViews>
  <sheetFormatPr defaultColWidth="11.42578125" defaultRowHeight="15.75" customHeight="1"/>
  <cols>
    <col min="1" max="1" width="13" style="1" customWidth="1"/>
    <col min="2" max="2" width="12.85546875" style="1" customWidth="1"/>
    <col min="3" max="3" width="15.7109375" style="1" customWidth="1"/>
    <col min="4" max="4" width="13.5703125" style="2" customWidth="1"/>
    <col min="5" max="5" width="16" style="1" customWidth="1"/>
    <col min="6" max="10" width="11.42578125" style="1"/>
    <col min="11" max="11" width="4" style="1" customWidth="1"/>
    <col min="12" max="13" width="11.42578125" style="1"/>
    <col min="14" max="14" width="4" style="1" bestFit="1" customWidth="1"/>
    <col min="15" max="15" width="3.42578125" style="1" customWidth="1"/>
    <col min="16" max="27" width="11.42578125" style="1"/>
    <col min="28" max="28" width="11.42578125" style="3"/>
    <col min="29" max="16384" width="11.42578125" style="1"/>
  </cols>
  <sheetData>
    <row r="2" spans="2:30" ht="24">
      <c r="B2" s="72" t="s">
        <v>0</v>
      </c>
    </row>
    <row r="3" spans="2:30" ht="15.75" customHeight="1" thickBot="1"/>
    <row r="4" spans="2:30" ht="15.75" customHeight="1" thickBot="1">
      <c r="B4" s="4"/>
      <c r="C4" s="4"/>
      <c r="D4" s="4"/>
      <c r="E4" s="4"/>
      <c r="F4" s="4"/>
      <c r="G4" s="96" t="s">
        <v>1</v>
      </c>
      <c r="H4" s="97"/>
      <c r="I4" s="97"/>
      <c r="J4" s="98"/>
      <c r="K4" s="6"/>
      <c r="L4" s="96" t="s">
        <v>2</v>
      </c>
      <c r="M4" s="99"/>
      <c r="N4" s="7"/>
      <c r="O4" s="7"/>
      <c r="P4" s="100" t="s">
        <v>3</v>
      </c>
      <c r="Q4" s="101"/>
      <c r="R4" s="102"/>
      <c r="S4" s="103" t="s">
        <v>4</v>
      </c>
      <c r="T4" s="101"/>
      <c r="U4" s="104"/>
      <c r="V4" s="100" t="s">
        <v>5</v>
      </c>
      <c r="W4" s="101"/>
      <c r="X4" s="102"/>
      <c r="Y4" s="103" t="s">
        <v>6</v>
      </c>
      <c r="Z4" s="101"/>
      <c r="AA4" s="104"/>
      <c r="AB4" s="80" t="s">
        <v>7</v>
      </c>
      <c r="AC4" s="7"/>
      <c r="AD4" s="7"/>
    </row>
    <row r="5" spans="2:30" ht="15.75" customHeight="1" thickBot="1">
      <c r="B5" s="5" t="s">
        <v>8</v>
      </c>
      <c r="C5" s="8" t="s">
        <v>9</v>
      </c>
      <c r="D5" s="9" t="s">
        <v>10</v>
      </c>
      <c r="E5" s="9" t="s">
        <v>11</v>
      </c>
      <c r="F5" s="10" t="s">
        <v>12</v>
      </c>
      <c r="G5" s="8" t="s">
        <v>13</v>
      </c>
      <c r="H5" s="9" t="s">
        <v>14</v>
      </c>
      <c r="I5" s="9" t="s">
        <v>15</v>
      </c>
      <c r="J5" s="11" t="s">
        <v>16</v>
      </c>
      <c r="L5" s="8" t="s">
        <v>13</v>
      </c>
      <c r="M5" s="11" t="s">
        <v>14</v>
      </c>
      <c r="N5" s="12"/>
      <c r="O5" s="12"/>
      <c r="P5" s="13" t="s">
        <v>17</v>
      </c>
      <c r="Q5" s="14" t="s">
        <v>18</v>
      </c>
      <c r="R5" s="15" t="s">
        <v>19</v>
      </c>
      <c r="S5" s="16" t="s">
        <v>17</v>
      </c>
      <c r="T5" s="14" t="s">
        <v>18</v>
      </c>
      <c r="U5" s="17" t="s">
        <v>19</v>
      </c>
      <c r="V5" s="13" t="s">
        <v>17</v>
      </c>
      <c r="W5" s="14" t="s">
        <v>18</v>
      </c>
      <c r="X5" s="15" t="s">
        <v>19</v>
      </c>
      <c r="Y5" s="16" t="s">
        <v>20</v>
      </c>
      <c r="Z5" s="14" t="s">
        <v>18</v>
      </c>
      <c r="AA5" s="17" t="s">
        <v>19</v>
      </c>
      <c r="AB5" s="81"/>
      <c r="AC5" s="12"/>
      <c r="AD5" s="12"/>
    </row>
    <row r="6" spans="2:30" ht="15.75" customHeight="1">
      <c r="B6" s="82" t="s">
        <v>21</v>
      </c>
      <c r="C6" s="86" t="s">
        <v>22</v>
      </c>
      <c r="D6" s="89" t="s">
        <v>23</v>
      </c>
      <c r="E6" s="18" t="s">
        <v>24</v>
      </c>
      <c r="F6" s="19" t="s">
        <v>25</v>
      </c>
      <c r="G6" s="20">
        <v>0</v>
      </c>
      <c r="H6" s="21">
        <v>10</v>
      </c>
      <c r="I6" s="21">
        <v>0</v>
      </c>
      <c r="J6" s="19">
        <v>0</v>
      </c>
      <c r="L6" s="22">
        <v>0</v>
      </c>
      <c r="M6" s="23">
        <v>10</v>
      </c>
      <c r="N6" s="7"/>
      <c r="O6" s="7"/>
      <c r="P6" s="24" t="s">
        <v>26</v>
      </c>
      <c r="Q6" s="25" t="s">
        <v>26</v>
      </c>
      <c r="R6" s="26" t="s">
        <v>26</v>
      </c>
      <c r="S6" s="27" t="s">
        <v>26</v>
      </c>
      <c r="T6" s="25" t="s">
        <v>26</v>
      </c>
      <c r="U6" s="26" t="s">
        <v>26</v>
      </c>
      <c r="V6" s="27" t="s">
        <v>26</v>
      </c>
      <c r="W6" s="25" t="s">
        <v>26</v>
      </c>
      <c r="X6" s="28" t="s">
        <v>26</v>
      </c>
      <c r="Y6" s="27" t="s">
        <v>26</v>
      </c>
      <c r="Z6" s="25" t="s">
        <v>26</v>
      </c>
      <c r="AA6" s="26" t="s">
        <v>26</v>
      </c>
      <c r="AB6" s="29" t="s">
        <v>24</v>
      </c>
      <c r="AC6" s="7"/>
      <c r="AD6" s="7"/>
    </row>
    <row r="7" spans="2:30" ht="15.75" customHeight="1">
      <c r="B7" s="83"/>
      <c r="C7" s="87"/>
      <c r="D7" s="90"/>
      <c r="E7" s="30" t="s">
        <v>24</v>
      </c>
      <c r="F7" s="31" t="s">
        <v>27</v>
      </c>
      <c r="G7" s="32">
        <v>10</v>
      </c>
      <c r="H7" s="30">
        <v>10</v>
      </c>
      <c r="I7" s="30">
        <v>0</v>
      </c>
      <c r="J7" s="31">
        <v>0</v>
      </c>
      <c r="L7" s="32">
        <v>10</v>
      </c>
      <c r="M7" s="31">
        <v>10</v>
      </c>
      <c r="N7" s="7"/>
      <c r="O7" s="7"/>
      <c r="P7" s="33">
        <f>SUM(G7,I7)/SUM(G7:J7)</f>
        <v>0.5</v>
      </c>
      <c r="Q7" s="34">
        <f>((SUM(G7,I7)+1.3613)-(1.65*SQRT(SUM(G7,I7)-(SUM(G7,I7)^2/SUM(G7:J7))+0.6806)))/(SUM(G7:J7)+2.7225)</f>
        <v>0.32693094787634341</v>
      </c>
      <c r="R7" s="35">
        <f>((SUM(G7,I7)+1.3613)+(1.65*SQRT(SUM(G7,I7)-(SUM(G7,I7)^2/SUM(G7:J7))+0.6806)))/(SUM(G7:J7)+2.7225)</f>
        <v>0.6730734530478506</v>
      </c>
      <c r="S7" s="33">
        <f>G7/SUM(G7:J7)</f>
        <v>0.5</v>
      </c>
      <c r="T7" s="34">
        <f>((G7+1.3613)-(1.65*SQRT(G7-(G7^2/SUM(G7:J7))+0.6806)))/(SUM(G7:J7)+2.7225)</f>
        <v>0.32693094787634341</v>
      </c>
      <c r="U7" s="35">
        <f>((G7+1.3613)+(1.65*SQRT(G7-(G7^2/SUM(G7:J7))+0.6806)))/(SUM(G7:J7)+2.7225)</f>
        <v>0.6730734530478506</v>
      </c>
      <c r="V7" s="33">
        <f>L7/SUM(L7:M7)</f>
        <v>0.5</v>
      </c>
      <c r="W7" s="34">
        <f>((L7+1.3613)-(1.65*SQRT(L7-(L7^2/SUM(L7:M7))+0.6806)))/(SUM(L7:M7)+2.7225)</f>
        <v>0.32693094787634341</v>
      </c>
      <c r="X7" s="36">
        <f>((L7+1.3613)+(1.65*SQRT(L7-(L7^2/SUM(L7:M7))+0.6806)))/(SUM(L7:M7)+2.7225)</f>
        <v>0.6730734530478506</v>
      </c>
      <c r="Y7" s="33">
        <f>S7-V7</f>
        <v>0</v>
      </c>
      <c r="Z7" s="34">
        <f>Y7-SQRT((S7-T7)^2+(V7-X7)^2)</f>
        <v>-0.24475971268345514</v>
      </c>
      <c r="AA7" s="35">
        <f>Y7+SQRT((S7-U7)^2+(V7-W7)^2)</f>
        <v>0.24475971268345514</v>
      </c>
      <c r="AB7" s="37" t="s">
        <v>28</v>
      </c>
      <c r="AC7" s="38"/>
      <c r="AD7" s="7"/>
    </row>
    <row r="8" spans="2:30" ht="15.75" customHeight="1" thickBot="1">
      <c r="B8" s="83"/>
      <c r="C8" s="88"/>
      <c r="D8" s="91"/>
      <c r="E8" s="39" t="s">
        <v>24</v>
      </c>
      <c r="F8" s="40" t="s">
        <v>29</v>
      </c>
      <c r="G8" s="32">
        <v>14</v>
      </c>
      <c r="H8" s="30">
        <v>6</v>
      </c>
      <c r="I8" s="30">
        <v>0</v>
      </c>
      <c r="J8" s="31">
        <v>0</v>
      </c>
      <c r="L8" s="32">
        <v>14</v>
      </c>
      <c r="M8" s="31">
        <v>6</v>
      </c>
      <c r="N8" s="7"/>
      <c r="O8" s="7"/>
      <c r="P8" s="33">
        <f>SUM(G8,I8)/SUM(G8:J8)</f>
        <v>0.7</v>
      </c>
      <c r="Q8" s="34">
        <f>((SUM(G8,I8)+1.3613)-(1.65*SQRT(SUM(G8,I8)-(SUM(G8,I8)^2/SUM(G8:J8))+0.6806)))/(SUM(G8:J8)+2.7225)</f>
        <v>0.51561697855622868</v>
      </c>
      <c r="R8" s="35">
        <f>((SUM(G8,I8)+1.3613)+(1.65*SQRT(SUM(G8,I8)-(SUM(G8,I8)^2/SUM(G8:J8))+0.6806)))/(SUM(G8:J8)+2.7225)</f>
        <v>0.83646135789442599</v>
      </c>
      <c r="S8" s="33">
        <f>G8/SUM(G8:J8)</f>
        <v>0.7</v>
      </c>
      <c r="T8" s="34">
        <f>((G8+1.3613)-(1.65*SQRT(G8-(G8^2/SUM(G8:J8))+0.6806)))/(SUM(G8:J8)+2.7225)</f>
        <v>0.51561697855622868</v>
      </c>
      <c r="U8" s="35">
        <f>((G8+1.3613)+(1.65*SQRT(G8-(G8^2/SUM(G8:J8))+0.6806)))/(SUM(G8:J8)+2.7225)</f>
        <v>0.83646135789442599</v>
      </c>
      <c r="V8" s="33">
        <f>L8/SUM(L8:M8)</f>
        <v>0.7</v>
      </c>
      <c r="W8" s="34">
        <f>((L8+1.3613)-(1.65*SQRT(L8-(L8^2/SUM(L8:M8))+0.6806)))/(SUM(L8:M8)+2.7225)</f>
        <v>0.51561697855622868</v>
      </c>
      <c r="X8" s="36">
        <f>((L8+1.3613)+(1.65*SQRT(L8-(L8^2/SUM(L8:M8))+0.6806)))/(SUM(L8:M8)+2.7225)</f>
        <v>0.83646135789442599</v>
      </c>
      <c r="Y8" s="33">
        <f>S8-V8</f>
        <v>0</v>
      </c>
      <c r="Z8" s="34">
        <f>Y8-SQRT((S8-T8)^2+(V8-X8)^2)</f>
        <v>-0.2293878828428495</v>
      </c>
      <c r="AA8" s="35">
        <f>Y8+SQRT((S8-U8)^2+(V8-W8)^2)</f>
        <v>0.2293878828428495</v>
      </c>
      <c r="AB8" s="37" t="s">
        <v>28</v>
      </c>
      <c r="AC8" s="7"/>
      <c r="AD8" s="7"/>
    </row>
    <row r="9" spans="2:30" ht="15.75" customHeight="1">
      <c r="B9" s="83"/>
      <c r="C9" s="92" t="s">
        <v>30</v>
      </c>
      <c r="D9" s="93" t="s">
        <v>31</v>
      </c>
      <c r="E9" s="41" t="s">
        <v>24</v>
      </c>
      <c r="F9" s="23" t="s">
        <v>25</v>
      </c>
      <c r="G9" s="22">
        <v>0</v>
      </c>
      <c r="H9" s="42">
        <v>10</v>
      </c>
      <c r="I9" s="42">
        <v>0</v>
      </c>
      <c r="J9" s="23">
        <v>0</v>
      </c>
      <c r="L9" s="22">
        <v>0</v>
      </c>
      <c r="M9" s="23">
        <v>10</v>
      </c>
      <c r="N9" s="7"/>
      <c r="O9" s="7"/>
      <c r="P9" s="33" t="s">
        <v>26</v>
      </c>
      <c r="Q9" s="34" t="s">
        <v>26</v>
      </c>
      <c r="R9" s="35" t="s">
        <v>26</v>
      </c>
      <c r="S9" s="33" t="s">
        <v>26</v>
      </c>
      <c r="T9" s="34" t="s">
        <v>26</v>
      </c>
      <c r="U9" s="35" t="s">
        <v>26</v>
      </c>
      <c r="V9" s="33" t="s">
        <v>26</v>
      </c>
      <c r="W9" s="34" t="s">
        <v>26</v>
      </c>
      <c r="X9" s="36" t="s">
        <v>26</v>
      </c>
      <c r="Y9" s="33" t="s">
        <v>26</v>
      </c>
      <c r="Z9" s="34" t="s">
        <v>26</v>
      </c>
      <c r="AA9" s="35" t="s">
        <v>26</v>
      </c>
      <c r="AB9" s="37" t="s">
        <v>24</v>
      </c>
      <c r="AC9" s="7"/>
      <c r="AD9" s="7"/>
    </row>
    <row r="10" spans="2:30" ht="15.75" customHeight="1">
      <c r="B10" s="83"/>
      <c r="C10" s="87"/>
      <c r="D10" s="90"/>
      <c r="E10" s="30" t="s">
        <v>24</v>
      </c>
      <c r="F10" s="31" t="s">
        <v>27</v>
      </c>
      <c r="G10" s="32">
        <v>7</v>
      </c>
      <c r="H10" s="30">
        <v>12</v>
      </c>
      <c r="I10" s="30">
        <v>0</v>
      </c>
      <c r="J10" s="73">
        <v>1</v>
      </c>
      <c r="L10" s="32">
        <v>8</v>
      </c>
      <c r="M10" s="31">
        <v>12</v>
      </c>
      <c r="N10" s="7"/>
      <c r="O10" s="7"/>
      <c r="P10" s="33">
        <f>SUM(G10,I10)/SUM(G10:J10)</f>
        <v>0.35</v>
      </c>
      <c r="Q10" s="34">
        <f>((SUM(G10,I10)+1.3613)-(1.65*SQRT(SUM(G10,I10)-(SUM(G10,I10)^2/SUM(G10:J10))+0.6806)))/(SUM(G10:J10)+2.7225)</f>
        <v>0.20189973247796225</v>
      </c>
      <c r="R10" s="35">
        <f>((SUM(G10,I10)+1.3613)+(1.65*SQRT(SUM(G10,I10)-(SUM(G10,I10)^2/SUM(G10:J10))+0.6806)))/(SUM(G10:J10)+2.7225)</f>
        <v>0.53404921680138639</v>
      </c>
      <c r="S10" s="33">
        <f>G10/SUM(G10:J10)</f>
        <v>0.35</v>
      </c>
      <c r="T10" s="34">
        <f>((G10+1.3613)-(1.65*SQRT(G10-(G10^2/SUM(G10:J10))+0.6806)))/(SUM(G10:J10)+2.7225)</f>
        <v>0.20189973247796225</v>
      </c>
      <c r="U10" s="35">
        <f>((G10+1.3613)+(1.65*SQRT(G10-(G10^2/SUM(G10:J10))+0.6806)))/(SUM(G10:J10)+2.7225)</f>
        <v>0.53404921680138639</v>
      </c>
      <c r="V10" s="33">
        <f>L10/SUM(L10:M10)</f>
        <v>0.4</v>
      </c>
      <c r="W10" s="34">
        <f>((L10+1.3613)-(1.65*SQRT(L10-(L10^2/SUM(L10:M10))+0.6806)))/(SUM(L10:M10)+2.7225)</f>
        <v>0.24198647075497337</v>
      </c>
      <c r="X10" s="36">
        <f>((L10+1.3613)+(1.65*SQRT(L10-(L10^2/SUM(L10:M10))+0.6806)))/(SUM(L10:M10)+2.7225)</f>
        <v>0.5819809624059904</v>
      </c>
      <c r="Y10" s="33">
        <f>S10-V10</f>
        <v>-5.0000000000000044E-2</v>
      </c>
      <c r="Z10" s="34">
        <f>Y10-SQRT((S10-T10)^2+(V10-X10)^2)</f>
        <v>-0.28462898354276189</v>
      </c>
      <c r="AA10" s="35">
        <f>Y10+SQRT((S10-U10)^2+(V10-W10)^2)</f>
        <v>0.19257450325554129</v>
      </c>
      <c r="AB10" s="37" t="s">
        <v>28</v>
      </c>
      <c r="AC10" s="7"/>
      <c r="AD10" s="7"/>
    </row>
    <row r="11" spans="2:30" ht="15.75" customHeight="1" thickBot="1">
      <c r="B11" s="83"/>
      <c r="C11" s="88"/>
      <c r="D11" s="91"/>
      <c r="E11" s="39" t="s">
        <v>24</v>
      </c>
      <c r="F11" s="40" t="s">
        <v>29</v>
      </c>
      <c r="G11" s="32">
        <v>20</v>
      </c>
      <c r="H11" s="30">
        <v>0</v>
      </c>
      <c r="I11" s="30">
        <v>0</v>
      </c>
      <c r="J11" s="31">
        <v>0</v>
      </c>
      <c r="L11" s="32">
        <v>20</v>
      </c>
      <c r="M11" s="31">
        <v>0</v>
      </c>
      <c r="N11" s="7"/>
      <c r="O11" s="7"/>
      <c r="P11" s="33">
        <f>SUM(G11,I11)/SUM(G11:J11)</f>
        <v>1</v>
      </c>
      <c r="Q11" s="34">
        <f>((SUM(G11,I11)+1.3613)-(1.65*SQRT(SUM(G11,I11)-(SUM(G11,I11)^2/SUM(G11:J11))+0.6806)))/(SUM(G11:J11)+2.7225)</f>
        <v>0.88018813951940023</v>
      </c>
      <c r="R11" s="35">
        <f>((SUM(G11,I11)+1.3613)+(1.65*SQRT(SUM(G11,I11)-(SUM(G11,I11)^2/SUM(G11:J11))+0.6806)))/(SUM(G11:J11)+2.7225)</f>
        <v>1.0000011002209452</v>
      </c>
      <c r="S11" s="33">
        <f>G11/SUM(G11:J11)</f>
        <v>1</v>
      </c>
      <c r="T11" s="34">
        <f>((G11+1.3613)-(1.65*SQRT(G11-(G11^2/SUM(G11:J11))+0.6806)))/(SUM(G11:J11)+2.7225)</f>
        <v>0.88018813951940023</v>
      </c>
      <c r="U11" s="35">
        <f>((G11+1.3613)+(1.65*SQRT(G11-(G11^2/SUM(G11:J11))+0.6806)))/(SUM(G11:J11)+2.7225)</f>
        <v>1.0000011002209452</v>
      </c>
      <c r="V11" s="33">
        <f>L11/SUM(L11:M11)</f>
        <v>1</v>
      </c>
      <c r="W11" s="34">
        <f>((L11+1.3613)-(1.65*SQRT(L11-(L11^2/SUM(L11:M11))+0.6806)))/(SUM(L11:M11)+2.7225)</f>
        <v>0.88018813951940023</v>
      </c>
      <c r="X11" s="36">
        <f>((L11+1.3613)+(1.65*SQRT(L11-(L11^2/SUM(L11:M11))+0.6806)))/(SUM(L11:M11)+2.7225)</f>
        <v>1.0000011002209452</v>
      </c>
      <c r="Y11" s="33">
        <f>S11-V11</f>
        <v>0</v>
      </c>
      <c r="Z11" s="34">
        <f>Y11-SQRT((S11-T11)^2+(V11-X11)^2)</f>
        <v>-0.11981186048565139</v>
      </c>
      <c r="AA11" s="35">
        <f>Y11+SQRT((S11-U11)^2+(V11-W11)^2)</f>
        <v>0.11981186048565139</v>
      </c>
      <c r="AB11" s="37" t="s">
        <v>28</v>
      </c>
      <c r="AC11" s="7"/>
      <c r="AD11" s="7"/>
    </row>
    <row r="12" spans="2:30" ht="15.75" customHeight="1">
      <c r="B12" s="83"/>
      <c r="C12" s="92" t="s">
        <v>32</v>
      </c>
      <c r="D12" s="93" t="s">
        <v>33</v>
      </c>
      <c r="E12" s="41" t="s">
        <v>34</v>
      </c>
      <c r="F12" s="23" t="s">
        <v>25</v>
      </c>
      <c r="G12" s="22">
        <v>0</v>
      </c>
      <c r="H12" s="42">
        <v>10</v>
      </c>
      <c r="I12" s="42">
        <v>0</v>
      </c>
      <c r="J12" s="23">
        <v>0</v>
      </c>
      <c r="L12" s="22">
        <v>0</v>
      </c>
      <c r="M12" s="23">
        <v>10</v>
      </c>
      <c r="N12" s="7"/>
      <c r="O12" s="7"/>
      <c r="P12" s="33" t="s">
        <v>26</v>
      </c>
      <c r="Q12" s="34" t="s">
        <v>26</v>
      </c>
      <c r="R12" s="35" t="s">
        <v>26</v>
      </c>
      <c r="S12" s="33" t="s">
        <v>26</v>
      </c>
      <c r="T12" s="34" t="s">
        <v>26</v>
      </c>
      <c r="U12" s="35" t="s">
        <v>26</v>
      </c>
      <c r="V12" s="33" t="s">
        <v>26</v>
      </c>
      <c r="W12" s="34" t="s">
        <v>26</v>
      </c>
      <c r="X12" s="36" t="s">
        <v>26</v>
      </c>
      <c r="Y12" s="33" t="s">
        <v>26</v>
      </c>
      <c r="Z12" s="34" t="s">
        <v>26</v>
      </c>
      <c r="AA12" s="35" t="s">
        <v>26</v>
      </c>
      <c r="AB12" s="37" t="s">
        <v>24</v>
      </c>
      <c r="AC12" s="7"/>
      <c r="AD12" s="7"/>
    </row>
    <row r="13" spans="2:30" ht="15.75" customHeight="1">
      <c r="B13" s="84"/>
      <c r="C13" s="94"/>
      <c r="D13" s="95"/>
      <c r="E13" s="43" t="s">
        <v>34</v>
      </c>
      <c r="F13" s="44" t="s">
        <v>27</v>
      </c>
      <c r="G13" s="45">
        <v>16</v>
      </c>
      <c r="H13" s="46">
        <v>4</v>
      </c>
      <c r="I13" s="46">
        <v>0</v>
      </c>
      <c r="J13" s="44">
        <v>0</v>
      </c>
      <c r="L13" s="45">
        <v>16</v>
      </c>
      <c r="M13" s="44">
        <v>4</v>
      </c>
      <c r="N13" s="7"/>
      <c r="O13" s="7"/>
      <c r="P13" s="47">
        <f>SUM(G13,I13)/SUM(G13:J13)</f>
        <v>0.8</v>
      </c>
      <c r="Q13" s="48">
        <f>((SUM(G13,I13)+1.3613)-(1.65*SQRT(SUM(G13,I13)-(SUM(G13,I13)^2/SUM(G13:J13))+0.6806)))/(SUM(G13:J13)+2.7225)</f>
        <v>0.62101114036509186</v>
      </c>
      <c r="R13" s="49">
        <f>((SUM(G13,I13)+1.3613)+(1.65*SQRT(SUM(G13,I13)-(SUM(G13,I13)^2/SUM(G13:J13))+0.6806)))/(SUM(G13:J13)+2.7225)</f>
        <v>0.907104163848793</v>
      </c>
      <c r="S13" s="47">
        <f>G13/SUM(G13:J13)</f>
        <v>0.8</v>
      </c>
      <c r="T13" s="48">
        <f>((G13+1.3613)-(1.65*SQRT(G13-(G13^2/SUM(G13:J13))+0.6806)))/(SUM(G13:J13)+2.7225)</f>
        <v>0.62101114036509186</v>
      </c>
      <c r="U13" s="49">
        <f>((G13+1.3613)+(1.65*SQRT(G13-(G13^2/SUM(G13:J13))+0.6806)))/(SUM(G13:J13)+2.7225)</f>
        <v>0.907104163848793</v>
      </c>
      <c r="V13" s="47">
        <f>L13/SUM(L13:M13)</f>
        <v>0.8</v>
      </c>
      <c r="W13" s="48">
        <f>((L13+1.3613)-(1.65*SQRT(L13-(L13^2/SUM(L13:M13))+0.6806)))/(SUM(L13:M13)+2.7225)</f>
        <v>0.62101114036509186</v>
      </c>
      <c r="X13" s="50">
        <f>((L13+1.3613)+(1.65*SQRT(L13-(L13^2/SUM(L13:M13))+0.6806)))/(SUM(L13:M13)+2.7225)</f>
        <v>0.907104163848793</v>
      </c>
      <c r="Y13" s="47">
        <f>S13-V13</f>
        <v>0</v>
      </c>
      <c r="Z13" s="48">
        <f>Y13-SQRT((S13-T13)^2+(V13-X13)^2)</f>
        <v>-0.20858646597311617</v>
      </c>
      <c r="AA13" s="49">
        <f>Y13+SQRT((S13-U13)^2+(V13-W13)^2)</f>
        <v>0.20858646597311617</v>
      </c>
      <c r="AB13" s="37" t="s">
        <v>28</v>
      </c>
      <c r="AC13" s="7"/>
      <c r="AD13" s="7"/>
    </row>
    <row r="14" spans="2:30" ht="15.75" customHeight="1" thickBot="1">
      <c r="B14" s="85"/>
      <c r="C14" s="88"/>
      <c r="D14" s="91"/>
      <c r="E14" s="39" t="s">
        <v>34</v>
      </c>
      <c r="F14" s="40" t="s">
        <v>29</v>
      </c>
      <c r="G14" s="51">
        <v>20</v>
      </c>
      <c r="H14" s="39">
        <v>0</v>
      </c>
      <c r="I14" s="39">
        <v>0</v>
      </c>
      <c r="J14" s="40">
        <v>0</v>
      </c>
      <c r="L14" s="51">
        <v>20</v>
      </c>
      <c r="M14" s="40">
        <v>0</v>
      </c>
      <c r="N14" s="7"/>
      <c r="O14" s="7"/>
      <c r="P14" s="52">
        <f>SUM(G14,I14)/SUM(G14:J14)</f>
        <v>1</v>
      </c>
      <c r="Q14" s="53">
        <f>((SUM(G14,I14)+1.3613)-(1.65*SQRT(SUM(G14,I14)-(SUM(G14,I14)^2/SUM(G14:J14))+0.6806)))/(SUM(G14:J14)+2.7225)</f>
        <v>0.88018813951940023</v>
      </c>
      <c r="R14" s="54">
        <f>((SUM(G14,I14)+1.3613)+(1.65*SQRT(SUM(G14,I14)-(SUM(G14,I14)^2/SUM(G14:J14))+0.6806)))/(SUM(G14:J14)+2.7225)</f>
        <v>1.0000011002209452</v>
      </c>
      <c r="S14" s="52">
        <f>G14/SUM(G14:J14)</f>
        <v>1</v>
      </c>
      <c r="T14" s="53">
        <f>((G14+1.3613)-(1.65*SQRT(G14-(G14^2/SUM(G14:J14))+0.6806)))/(SUM(G14:J14)+2.7225)</f>
        <v>0.88018813951940023</v>
      </c>
      <c r="U14" s="54">
        <f>((G14+1.3613)+(1.65*SQRT(G14-(G14^2/SUM(G14:J14))+0.6806)))/(SUM(G14:J14)+2.7225)</f>
        <v>1.0000011002209452</v>
      </c>
      <c r="V14" s="52">
        <f>L14/SUM(L14:M14)</f>
        <v>1</v>
      </c>
      <c r="W14" s="53">
        <f>((L14+1.3613)-(1.65*SQRT(L14-(L14^2/SUM(L14:M14))+0.6806)))/(SUM(L14:M14)+2.7225)</f>
        <v>0.88018813951940023</v>
      </c>
      <c r="X14" s="55">
        <f>((L14+1.3613)+(1.65*SQRT(L14-(L14^2/SUM(L14:M14))+0.6806)))/(SUM(L14:M14)+2.7225)</f>
        <v>1.0000011002209452</v>
      </c>
      <c r="Y14" s="52">
        <f>S14-V14</f>
        <v>0</v>
      </c>
      <c r="Z14" s="53">
        <f>Y14-SQRT((S14-T14)^2+(V14-X14)^2)</f>
        <v>-0.11981186048565139</v>
      </c>
      <c r="AA14" s="54">
        <f>Y14+SQRT((S14-U14)^2+(V14-W14)^2)</f>
        <v>0.11981186048565139</v>
      </c>
      <c r="AB14" s="56" t="s">
        <v>28</v>
      </c>
      <c r="AC14" s="7"/>
      <c r="AD14" s="7"/>
    </row>
    <row r="15" spans="2:30" ht="15.75" customHeight="1" thickBot="1">
      <c r="B15" s="6"/>
      <c r="C15" s="6"/>
      <c r="D15" s="6"/>
      <c r="E15" s="7"/>
      <c r="F15" s="7"/>
      <c r="G15" s="7"/>
      <c r="H15" s="7"/>
      <c r="I15" s="7"/>
      <c r="J15" s="7"/>
      <c r="L15" s="7"/>
      <c r="M15" s="7"/>
      <c r="N15" s="7"/>
      <c r="O15" s="7"/>
      <c r="P15" s="57"/>
      <c r="Q15" s="57"/>
      <c r="R15" s="57"/>
      <c r="S15" s="57"/>
      <c r="T15" s="57"/>
      <c r="U15" s="57"/>
      <c r="V15" s="57"/>
      <c r="W15" s="57"/>
      <c r="X15" s="57"/>
      <c r="Y15" s="57"/>
      <c r="Z15" s="57"/>
      <c r="AA15" s="57"/>
      <c r="AB15" s="58"/>
      <c r="AC15" s="7"/>
      <c r="AD15" s="7"/>
    </row>
    <row r="16" spans="2:30" ht="15.75" customHeight="1" thickBot="1">
      <c r="B16" s="6"/>
      <c r="C16" s="6"/>
      <c r="D16" s="6"/>
      <c r="E16" s="7"/>
      <c r="F16" s="7"/>
      <c r="G16" s="105" t="s">
        <v>35</v>
      </c>
      <c r="H16" s="106"/>
      <c r="I16" s="106"/>
      <c r="J16" s="107"/>
      <c r="L16" s="108" t="s">
        <v>2</v>
      </c>
      <c r="M16" s="109"/>
      <c r="N16" s="7"/>
      <c r="O16" s="7"/>
      <c r="P16" s="65" t="s">
        <v>36</v>
      </c>
      <c r="Q16" s="66">
        <f>SUM(G18:G20)/SUM(G18:G20,J18:J20)</f>
        <v>0.98863636363636365</v>
      </c>
      <c r="R16" s="57"/>
      <c r="S16" s="57"/>
      <c r="T16" s="57"/>
      <c r="U16" s="57"/>
      <c r="V16" s="57"/>
      <c r="W16" s="57"/>
      <c r="X16" s="57"/>
      <c r="Y16" s="57"/>
      <c r="Z16" s="57"/>
      <c r="AA16" s="57"/>
      <c r="AB16" s="58"/>
      <c r="AC16" s="7"/>
      <c r="AD16" s="7"/>
    </row>
    <row r="17" spans="2:30" ht="15.75" customHeight="1" thickBot="1">
      <c r="B17" s="6"/>
      <c r="C17" s="6"/>
      <c r="D17" s="6"/>
      <c r="E17" s="7"/>
      <c r="F17" s="7"/>
      <c r="G17" s="59" t="s">
        <v>13</v>
      </c>
      <c r="H17" s="60" t="s">
        <v>14</v>
      </c>
      <c r="I17" s="60" t="s">
        <v>15</v>
      </c>
      <c r="J17" s="61" t="s">
        <v>16</v>
      </c>
      <c r="L17" s="59" t="s">
        <v>13</v>
      </c>
      <c r="M17" s="61" t="s">
        <v>14</v>
      </c>
      <c r="N17" s="7"/>
      <c r="O17" s="7"/>
      <c r="P17" s="67" t="s">
        <v>37</v>
      </c>
      <c r="Q17" s="68">
        <f>SUM(H18:H20)/SUM(H18:I20)</f>
        <v>1</v>
      </c>
      <c r="R17" s="57"/>
      <c r="S17" s="57"/>
      <c r="T17" s="57"/>
      <c r="U17" s="57"/>
      <c r="V17" s="57"/>
      <c r="W17" s="57"/>
      <c r="X17" s="57"/>
      <c r="Y17" s="57"/>
      <c r="Z17" s="57"/>
      <c r="AA17" s="57"/>
      <c r="AB17" s="58"/>
      <c r="AC17" s="7"/>
      <c r="AD17" s="7"/>
    </row>
    <row r="18" spans="2:30" ht="15.75" customHeight="1">
      <c r="B18" s="6"/>
      <c r="C18" s="6"/>
      <c r="D18" s="6"/>
      <c r="E18" s="7"/>
      <c r="F18" s="62" t="s">
        <v>25</v>
      </c>
      <c r="G18" s="20">
        <f>SUM(G6,G9,G12)</f>
        <v>0</v>
      </c>
      <c r="H18" s="21">
        <f t="shared" ref="H18:M18" si="0">SUM(H6,H9,H12)</f>
        <v>30</v>
      </c>
      <c r="I18" s="21">
        <f t="shared" si="0"/>
        <v>0</v>
      </c>
      <c r="J18" s="19">
        <f t="shared" si="0"/>
        <v>0</v>
      </c>
      <c r="L18" s="20">
        <f t="shared" si="0"/>
        <v>0</v>
      </c>
      <c r="M18" s="19">
        <f t="shared" si="0"/>
        <v>30</v>
      </c>
      <c r="N18" s="7"/>
      <c r="O18" s="7"/>
      <c r="P18" s="67" t="s">
        <v>38</v>
      </c>
      <c r="Q18" s="68">
        <f>1-Q16</f>
        <v>1.1363636363636354E-2</v>
      </c>
      <c r="R18" s="63"/>
      <c r="S18" s="57"/>
      <c r="T18" s="57"/>
      <c r="U18" s="57"/>
      <c r="V18" s="57"/>
      <c r="W18" s="57"/>
      <c r="X18" s="57"/>
      <c r="Y18" s="57"/>
      <c r="Z18" s="57"/>
      <c r="AA18" s="57"/>
      <c r="AB18" s="58"/>
      <c r="AC18" s="7"/>
      <c r="AD18" s="7"/>
    </row>
    <row r="19" spans="2:30" ht="15.75" customHeight="1">
      <c r="B19" s="6"/>
      <c r="C19" s="6"/>
      <c r="D19" s="6"/>
      <c r="E19" s="7"/>
      <c r="F19" s="62" t="s">
        <v>27</v>
      </c>
      <c r="G19" s="32">
        <f t="shared" ref="G19:M20" si="1">SUM(G7,G10,G13)</f>
        <v>33</v>
      </c>
      <c r="H19" s="30">
        <f t="shared" si="1"/>
        <v>26</v>
      </c>
      <c r="I19" s="30">
        <f t="shared" si="1"/>
        <v>0</v>
      </c>
      <c r="J19" s="31">
        <f t="shared" si="1"/>
        <v>1</v>
      </c>
      <c r="L19" s="32">
        <f t="shared" si="1"/>
        <v>34</v>
      </c>
      <c r="M19" s="31">
        <f t="shared" si="1"/>
        <v>26</v>
      </c>
      <c r="N19" s="7"/>
      <c r="O19" s="7"/>
      <c r="P19" s="67" t="s">
        <v>39</v>
      </c>
      <c r="Q19" s="69">
        <f>1-Q17</f>
        <v>0</v>
      </c>
      <c r="R19" s="57"/>
      <c r="S19" s="57"/>
      <c r="T19" s="57"/>
      <c r="U19" s="57"/>
      <c r="V19" s="57"/>
      <c r="W19" s="57"/>
      <c r="X19" s="57"/>
      <c r="Y19" s="57"/>
      <c r="Z19" s="57"/>
      <c r="AA19" s="57"/>
      <c r="AB19" s="58"/>
      <c r="AC19" s="7"/>
      <c r="AD19" s="7"/>
    </row>
    <row r="20" spans="2:30" ht="15.75" customHeight="1" thickBot="1">
      <c r="B20" s="6"/>
      <c r="C20" s="6"/>
      <c r="D20" s="6"/>
      <c r="E20" s="7"/>
      <c r="F20" s="62" t="s">
        <v>29</v>
      </c>
      <c r="G20" s="51">
        <f t="shared" si="1"/>
        <v>54</v>
      </c>
      <c r="H20" s="39">
        <f t="shared" si="1"/>
        <v>6</v>
      </c>
      <c r="I20" s="39">
        <f t="shared" si="1"/>
        <v>0</v>
      </c>
      <c r="J20" s="40">
        <f t="shared" si="1"/>
        <v>0</v>
      </c>
      <c r="L20" s="51">
        <f t="shared" si="1"/>
        <v>54</v>
      </c>
      <c r="M20" s="40">
        <f t="shared" si="1"/>
        <v>6</v>
      </c>
      <c r="N20" s="7"/>
      <c r="O20" s="7"/>
      <c r="P20" s="70" t="s">
        <v>40</v>
      </c>
      <c r="Q20" s="71">
        <f>SUM(G18:H20)/SUM(G18:J20)</f>
        <v>0.99333333333333329</v>
      </c>
      <c r="R20" s="57"/>
      <c r="S20" s="57"/>
      <c r="T20" s="57"/>
      <c r="U20" s="57"/>
      <c r="V20" s="57"/>
      <c r="W20" s="57"/>
      <c r="X20" s="57"/>
      <c r="Y20" s="57"/>
      <c r="Z20" s="57"/>
      <c r="AA20" s="57"/>
      <c r="AB20" s="58"/>
      <c r="AC20" s="7"/>
      <c r="AD20" s="7"/>
    </row>
    <row r="21" spans="2:30" ht="15.75" customHeight="1">
      <c r="B21" s="6"/>
      <c r="C21" s="6"/>
      <c r="D21" s="6"/>
      <c r="E21" s="7"/>
      <c r="F21" s="7"/>
      <c r="G21" s="7">
        <f>SUM(G18:G20)</f>
        <v>87</v>
      </c>
      <c r="H21" s="7">
        <f>SUM(H18:H20)</f>
        <v>62</v>
      </c>
      <c r="I21" s="7">
        <f>SUM(I18:I20)</f>
        <v>0</v>
      </c>
      <c r="J21" s="7">
        <f>SUM(J18:J20)</f>
        <v>1</v>
      </c>
      <c r="K21" s="7"/>
      <c r="L21" s="7">
        <f>SUM(L18:L20)</f>
        <v>88</v>
      </c>
      <c r="M21" s="7">
        <f>SUM(M18:M20)</f>
        <v>62</v>
      </c>
      <c r="N21" s="7"/>
      <c r="O21" s="7"/>
      <c r="P21" s="57"/>
      <c r="Q21" s="57"/>
      <c r="R21" s="57"/>
      <c r="S21" s="57"/>
      <c r="T21" s="57"/>
      <c r="U21" s="57"/>
      <c r="V21" s="57"/>
      <c r="W21" s="57"/>
      <c r="X21" s="57"/>
      <c r="Y21" s="57"/>
      <c r="Z21" s="57"/>
      <c r="AA21" s="57"/>
      <c r="AB21" s="58"/>
      <c r="AC21" s="7"/>
      <c r="AD21" s="7"/>
    </row>
    <row r="22" spans="2:30" ht="15.75" customHeight="1">
      <c r="B22" s="6"/>
      <c r="C22" s="6"/>
      <c r="D22" s="6"/>
      <c r="E22" s="7"/>
      <c r="F22" s="7"/>
      <c r="N22" s="7"/>
      <c r="O22" s="7"/>
      <c r="P22" s="57"/>
      <c r="Q22" s="57"/>
      <c r="R22" s="57"/>
      <c r="S22" s="57"/>
      <c r="T22" s="57"/>
      <c r="U22" s="57"/>
      <c r="V22" s="57"/>
      <c r="W22" s="57"/>
      <c r="X22" s="57"/>
      <c r="Y22" s="57"/>
      <c r="Z22" s="57"/>
      <c r="AA22" s="57"/>
      <c r="AB22" s="58"/>
      <c r="AC22" s="7"/>
      <c r="AD22" s="7"/>
    </row>
    <row r="23" spans="2:30" ht="15.75" customHeight="1">
      <c r="B23" s="6"/>
      <c r="C23" s="6"/>
      <c r="D23" s="6"/>
      <c r="E23" s="7"/>
      <c r="F23" s="7"/>
      <c r="N23" s="7"/>
      <c r="O23" s="7"/>
      <c r="P23" s="57"/>
      <c r="Q23" s="57"/>
      <c r="R23" s="57"/>
      <c r="S23" s="57"/>
      <c r="T23" s="57"/>
      <c r="U23" s="57"/>
      <c r="V23" s="57"/>
      <c r="W23" s="57"/>
      <c r="X23" s="57"/>
      <c r="Y23" s="57"/>
      <c r="Z23" s="57"/>
      <c r="AA23" s="57"/>
      <c r="AB23" s="58"/>
      <c r="AC23" s="7"/>
      <c r="AD23" s="7"/>
    </row>
    <row r="24" spans="2:30" ht="15.75" customHeight="1">
      <c r="B24" s="6"/>
      <c r="C24" s="6"/>
      <c r="D24" s="6"/>
      <c r="E24" s="7"/>
      <c r="F24" s="7"/>
      <c r="N24" s="7"/>
      <c r="O24" s="7"/>
      <c r="P24" s="57"/>
      <c r="Q24" s="57"/>
      <c r="R24" s="57"/>
      <c r="S24" s="57"/>
      <c r="T24" s="57"/>
      <c r="U24" s="57"/>
      <c r="V24" s="57"/>
      <c r="W24" s="57"/>
      <c r="X24" s="57"/>
      <c r="Y24" s="57"/>
      <c r="Z24" s="57"/>
      <c r="AA24" s="57"/>
      <c r="AB24" s="58"/>
      <c r="AC24" s="7"/>
      <c r="AD24" s="7"/>
    </row>
    <row r="25" spans="2:30" ht="15.75" customHeight="1" thickBot="1"/>
    <row r="26" spans="2:30" ht="15.75" customHeight="1" thickBot="1">
      <c r="B26" s="4"/>
      <c r="C26" s="4"/>
      <c r="D26" s="4"/>
      <c r="E26" s="4"/>
      <c r="F26" s="4"/>
      <c r="G26" s="96" t="s">
        <v>1</v>
      </c>
      <c r="H26" s="97"/>
      <c r="I26" s="97"/>
      <c r="J26" s="98"/>
      <c r="K26" s="6"/>
      <c r="L26" s="96" t="s">
        <v>2</v>
      </c>
      <c r="M26" s="99"/>
      <c r="N26" s="7"/>
      <c r="O26" s="7"/>
      <c r="P26" s="100" t="s">
        <v>3</v>
      </c>
      <c r="Q26" s="101"/>
      <c r="R26" s="102"/>
      <c r="S26" s="103" t="s">
        <v>4</v>
      </c>
      <c r="T26" s="101"/>
      <c r="U26" s="104"/>
      <c r="V26" s="100" t="s">
        <v>5</v>
      </c>
      <c r="W26" s="101"/>
      <c r="X26" s="102"/>
      <c r="Y26" s="103" t="s">
        <v>6</v>
      </c>
      <c r="Z26" s="101"/>
      <c r="AA26" s="104"/>
      <c r="AB26" s="80" t="s">
        <v>7</v>
      </c>
      <c r="AC26" s="7"/>
      <c r="AD26" s="7"/>
    </row>
    <row r="27" spans="2:30" ht="15.75" customHeight="1" thickBot="1">
      <c r="B27" s="5" t="s">
        <v>8</v>
      </c>
      <c r="C27" s="8" t="s">
        <v>9</v>
      </c>
      <c r="D27" s="9" t="s">
        <v>10</v>
      </c>
      <c r="E27" s="9" t="s">
        <v>11</v>
      </c>
      <c r="F27" s="10" t="s">
        <v>12</v>
      </c>
      <c r="G27" s="8" t="s">
        <v>13</v>
      </c>
      <c r="H27" s="9" t="s">
        <v>14</v>
      </c>
      <c r="I27" s="9" t="s">
        <v>15</v>
      </c>
      <c r="J27" s="11" t="s">
        <v>16</v>
      </c>
      <c r="L27" s="8" t="s">
        <v>13</v>
      </c>
      <c r="M27" s="11" t="s">
        <v>14</v>
      </c>
      <c r="N27" s="12"/>
      <c r="O27" s="12"/>
      <c r="P27" s="13" t="s">
        <v>17</v>
      </c>
      <c r="Q27" s="14" t="s">
        <v>18</v>
      </c>
      <c r="R27" s="15" t="s">
        <v>19</v>
      </c>
      <c r="S27" s="16" t="s">
        <v>17</v>
      </c>
      <c r="T27" s="14" t="s">
        <v>18</v>
      </c>
      <c r="U27" s="17" t="s">
        <v>19</v>
      </c>
      <c r="V27" s="13" t="s">
        <v>17</v>
      </c>
      <c r="W27" s="14" t="s">
        <v>18</v>
      </c>
      <c r="X27" s="15" t="s">
        <v>19</v>
      </c>
      <c r="Y27" s="16" t="s">
        <v>20</v>
      </c>
      <c r="Z27" s="14" t="s">
        <v>18</v>
      </c>
      <c r="AA27" s="17" t="s">
        <v>19</v>
      </c>
      <c r="AB27" s="81"/>
      <c r="AC27" s="12"/>
      <c r="AD27" s="12"/>
    </row>
    <row r="28" spans="2:30" ht="15.75" customHeight="1">
      <c r="B28" s="82" t="s">
        <v>41</v>
      </c>
      <c r="C28" s="86" t="s">
        <v>42</v>
      </c>
      <c r="D28" s="89" t="s">
        <v>43</v>
      </c>
      <c r="E28" s="18" t="s">
        <v>24</v>
      </c>
      <c r="F28" s="19" t="s">
        <v>25</v>
      </c>
      <c r="G28" s="20">
        <v>0</v>
      </c>
      <c r="H28" s="21">
        <v>10</v>
      </c>
      <c r="I28" s="21">
        <v>0</v>
      </c>
      <c r="J28" s="19">
        <v>0</v>
      </c>
      <c r="L28" s="22">
        <v>0</v>
      </c>
      <c r="M28" s="23">
        <v>10</v>
      </c>
      <c r="N28" s="7"/>
      <c r="O28" s="7"/>
      <c r="P28" s="24" t="s">
        <v>26</v>
      </c>
      <c r="Q28" s="25" t="s">
        <v>26</v>
      </c>
      <c r="R28" s="26" t="s">
        <v>26</v>
      </c>
      <c r="S28" s="27" t="s">
        <v>26</v>
      </c>
      <c r="T28" s="25" t="s">
        <v>26</v>
      </c>
      <c r="U28" s="26" t="s">
        <v>26</v>
      </c>
      <c r="V28" s="27" t="s">
        <v>26</v>
      </c>
      <c r="W28" s="25" t="s">
        <v>26</v>
      </c>
      <c r="X28" s="28" t="s">
        <v>26</v>
      </c>
      <c r="Y28" s="27" t="s">
        <v>26</v>
      </c>
      <c r="Z28" s="25" t="s">
        <v>26</v>
      </c>
      <c r="AA28" s="26" t="s">
        <v>26</v>
      </c>
      <c r="AB28" s="29" t="s">
        <v>24</v>
      </c>
      <c r="AC28" s="7"/>
      <c r="AD28" s="7"/>
    </row>
    <row r="29" spans="2:30" ht="15.75" customHeight="1">
      <c r="B29" s="83"/>
      <c r="C29" s="87"/>
      <c r="D29" s="90"/>
      <c r="E29" s="30" t="s">
        <v>24</v>
      </c>
      <c r="F29" s="31" t="s">
        <v>27</v>
      </c>
      <c r="G29" s="32">
        <v>7</v>
      </c>
      <c r="H29" s="30">
        <v>10</v>
      </c>
      <c r="I29" s="30">
        <v>0</v>
      </c>
      <c r="J29" s="73">
        <v>3</v>
      </c>
      <c r="L29" s="32">
        <v>10</v>
      </c>
      <c r="M29" s="31">
        <v>10</v>
      </c>
      <c r="N29" s="7"/>
      <c r="O29" s="7"/>
      <c r="P29" s="33">
        <f>SUM(G29,I29)/SUM(G29:J29)</f>
        <v>0.35</v>
      </c>
      <c r="Q29" s="34">
        <f>((SUM(G29,I29)+1.3613)-(1.65*SQRT(SUM(G29,I29)-(SUM(G29,I29)^2/SUM(G29:J29))+0.6806)))/(SUM(G29:J29)+2.7225)</f>
        <v>0.20189973247796225</v>
      </c>
      <c r="R29" s="35">
        <f>((SUM(G29,I29)+1.3613)+(1.65*SQRT(SUM(G29,I29)-(SUM(G29,I29)^2/SUM(G29:J29))+0.6806)))/(SUM(G29:J29)+2.7225)</f>
        <v>0.53404921680138639</v>
      </c>
      <c r="S29" s="33">
        <f>G29/SUM(G29:J29)</f>
        <v>0.35</v>
      </c>
      <c r="T29" s="34">
        <f>((G29+1.3613)-(1.65*SQRT(G29-(G29^2/SUM(G29:J29))+0.6806)))/(SUM(G29:J29)+2.7225)</f>
        <v>0.20189973247796225</v>
      </c>
      <c r="U29" s="35">
        <f>((G29+1.3613)+(1.65*SQRT(G29-(G29^2/SUM(G29:J29))+0.6806)))/(SUM(G29:J29)+2.7225)</f>
        <v>0.53404921680138639</v>
      </c>
      <c r="V29" s="33">
        <f>L29/SUM(L29:M29)</f>
        <v>0.5</v>
      </c>
      <c r="W29" s="34">
        <f>((L29+1.3613)-(1.65*SQRT(L29-(L29^2/SUM(L29:M29))+0.6806)))/(SUM(L29:M29)+2.7225)</f>
        <v>0.32693094787634341</v>
      </c>
      <c r="X29" s="36">
        <f>((L29+1.3613)+(1.65*SQRT(L29-(L29^2/SUM(L29:M29))+0.6806)))/(SUM(L29:M29)+2.7225)</f>
        <v>0.6730734530478506</v>
      </c>
      <c r="Y29" s="33">
        <f>S29-V29</f>
        <v>-0.15000000000000002</v>
      </c>
      <c r="Z29" s="34">
        <f>Y29-SQRT((S29-T29)^2+(V29-X29)^2)</f>
        <v>-0.37778961651051107</v>
      </c>
      <c r="AA29" s="35">
        <f>Y29+SQRT((S29-U29)^2+(V29-W29)^2)</f>
        <v>0.10264008195095387</v>
      </c>
      <c r="AB29" s="76" t="s">
        <v>44</v>
      </c>
      <c r="AC29" s="38"/>
      <c r="AD29" s="7"/>
    </row>
    <row r="30" spans="2:30" ht="15.75" customHeight="1" thickBot="1">
      <c r="B30" s="83"/>
      <c r="C30" s="88"/>
      <c r="D30" s="91"/>
      <c r="E30" s="39" t="s">
        <v>24</v>
      </c>
      <c r="F30" s="40" t="s">
        <v>29</v>
      </c>
      <c r="G30" s="32">
        <v>18</v>
      </c>
      <c r="H30" s="30">
        <v>2</v>
      </c>
      <c r="I30" s="30">
        <v>0</v>
      </c>
      <c r="J30" s="31">
        <v>0</v>
      </c>
      <c r="L30" s="32">
        <v>18</v>
      </c>
      <c r="M30" s="31">
        <v>2</v>
      </c>
      <c r="N30" s="7"/>
      <c r="O30" s="7"/>
      <c r="P30" s="33">
        <f>SUM(G30,I30)/SUM(G30:J30)</f>
        <v>0.9</v>
      </c>
      <c r="Q30" s="34">
        <f>((SUM(G30,I30)+1.3613)-(1.65*SQRT(SUM(G30,I30)-(SUM(G30,I30)^2/SUM(G30:J30))+0.6806)))/(SUM(G30:J30)+2.7225)</f>
        <v>0.7377076948078376</v>
      </c>
      <c r="R30" s="35">
        <f>((SUM(G30,I30)+1.3613)+(1.65*SQRT(SUM(G30,I30)-(SUM(G30,I30)^2/SUM(G30:J30))+0.6806)))/(SUM(G30:J30)+2.7225)</f>
        <v>0.96644457716927756</v>
      </c>
      <c r="S30" s="33">
        <f>G30/SUM(G30:J30)</f>
        <v>0.9</v>
      </c>
      <c r="T30" s="34">
        <f>((G30+1.3613)-(1.65*SQRT(G30-(G30^2/SUM(G30:J30))+0.6806)))/(SUM(G30:J30)+2.7225)</f>
        <v>0.7377076948078376</v>
      </c>
      <c r="U30" s="35">
        <f>((G30+1.3613)+(1.65*SQRT(G30-(G30^2/SUM(G30:J30))+0.6806)))/(SUM(G30:J30)+2.7225)</f>
        <v>0.96644457716927756</v>
      </c>
      <c r="V30" s="33">
        <f>L30/SUM(L30:M30)</f>
        <v>0.9</v>
      </c>
      <c r="W30" s="34">
        <f>((L30+1.3613)-(1.65*SQRT(L30-(L30^2/SUM(L30:M30))+0.6806)))/(SUM(L30:M30)+2.7225)</f>
        <v>0.7377076948078376</v>
      </c>
      <c r="X30" s="36">
        <f>((L30+1.3613)+(1.65*SQRT(L30-(L30^2/SUM(L30:M30))+0.6806)))/(SUM(L30:M30)+2.7225)</f>
        <v>0.96644457716927756</v>
      </c>
      <c r="Y30" s="33">
        <f>S30-V30</f>
        <v>0</v>
      </c>
      <c r="Z30" s="34">
        <f>Y30-SQRT((S30-T30)^2+(V30-X30)^2)</f>
        <v>-0.17536725509567078</v>
      </c>
      <c r="AA30" s="35">
        <f>Y30+SQRT((S30-U30)^2+(V30-W30)^2)</f>
        <v>0.17536725509567078</v>
      </c>
      <c r="AB30" s="37" t="s">
        <v>28</v>
      </c>
      <c r="AC30" s="7"/>
      <c r="AD30" s="7"/>
    </row>
    <row r="31" spans="2:30" ht="15.75" customHeight="1">
      <c r="B31" s="83"/>
      <c r="C31" s="92" t="s">
        <v>45</v>
      </c>
      <c r="D31" s="93" t="s">
        <v>46</v>
      </c>
      <c r="E31" s="41" t="s">
        <v>34</v>
      </c>
      <c r="F31" s="23" t="s">
        <v>25</v>
      </c>
      <c r="G31" s="22">
        <v>0</v>
      </c>
      <c r="H31" s="42">
        <v>10</v>
      </c>
      <c r="I31" s="42">
        <v>0</v>
      </c>
      <c r="J31" s="23">
        <v>0</v>
      </c>
      <c r="L31" s="22">
        <v>0</v>
      </c>
      <c r="M31" s="23">
        <v>10</v>
      </c>
      <c r="N31" s="7"/>
      <c r="O31" s="7"/>
      <c r="P31" s="33" t="s">
        <v>26</v>
      </c>
      <c r="Q31" s="34" t="s">
        <v>26</v>
      </c>
      <c r="R31" s="35" t="s">
        <v>26</v>
      </c>
      <c r="S31" s="33" t="s">
        <v>26</v>
      </c>
      <c r="T31" s="34" t="s">
        <v>26</v>
      </c>
      <c r="U31" s="35" t="s">
        <v>26</v>
      </c>
      <c r="V31" s="33" t="s">
        <v>26</v>
      </c>
      <c r="W31" s="34" t="s">
        <v>26</v>
      </c>
      <c r="X31" s="36" t="s">
        <v>26</v>
      </c>
      <c r="Y31" s="33" t="s">
        <v>26</v>
      </c>
      <c r="Z31" s="34" t="s">
        <v>26</v>
      </c>
      <c r="AA31" s="35" t="s">
        <v>26</v>
      </c>
      <c r="AB31" s="37" t="s">
        <v>24</v>
      </c>
      <c r="AC31" s="7"/>
      <c r="AD31" s="7"/>
    </row>
    <row r="32" spans="2:30" ht="15.75" customHeight="1">
      <c r="B32" s="83"/>
      <c r="C32" s="87"/>
      <c r="D32" s="90"/>
      <c r="E32" s="30" t="s">
        <v>34</v>
      </c>
      <c r="F32" s="31" t="s">
        <v>27</v>
      </c>
      <c r="G32" s="32">
        <v>11</v>
      </c>
      <c r="H32" s="30">
        <v>9</v>
      </c>
      <c r="I32" s="30">
        <v>0</v>
      </c>
      <c r="J32" s="31">
        <v>0</v>
      </c>
      <c r="L32" s="32">
        <v>11</v>
      </c>
      <c r="M32" s="31">
        <v>9</v>
      </c>
      <c r="N32" s="7"/>
      <c r="O32" s="7"/>
      <c r="P32" s="33">
        <f>SUM(G32,I32)/SUM(G32:J32)</f>
        <v>0.55000000000000004</v>
      </c>
      <c r="Q32" s="34">
        <f>((SUM(G32,I32)+1.3613)-(1.65*SQRT(SUM(G32,I32)-(SUM(G32,I32)^2/SUM(G32:J32))+0.6806)))/(SUM(G32:J32)+2.7225)</f>
        <v>0.37170355009739847</v>
      </c>
      <c r="R32" s="35">
        <f>((SUM(G32,I32)+1.3613)+(1.65*SQRT(SUM(G32,I32)-(SUM(G32,I32)^2/SUM(G32:J32))+0.6806)))/(SUM(G32:J32)+2.7225)</f>
        <v>0.71631933470841069</v>
      </c>
      <c r="S32" s="33">
        <f>G32/SUM(G32:J32)</f>
        <v>0.55000000000000004</v>
      </c>
      <c r="T32" s="34">
        <f>((G32+1.3613)-(1.65*SQRT(G32-(G32^2/SUM(G32:J32))+0.6806)))/(SUM(G32:J32)+2.7225)</f>
        <v>0.37170355009739847</v>
      </c>
      <c r="U32" s="35">
        <f>((G32+1.3613)+(1.65*SQRT(G32-(G32^2/SUM(G32:J32))+0.6806)))/(SUM(G32:J32)+2.7225)</f>
        <v>0.71631933470841069</v>
      </c>
      <c r="V32" s="33">
        <f>L32/SUM(L32:M32)</f>
        <v>0.55000000000000004</v>
      </c>
      <c r="W32" s="34">
        <f>((L32+1.3613)-(1.65*SQRT(L32-(L32^2/SUM(L32:M32))+0.6806)))/(SUM(L32:M32)+2.7225)</f>
        <v>0.37170355009739847</v>
      </c>
      <c r="X32" s="36">
        <f>((L32+1.3613)+(1.65*SQRT(L32-(L32^2/SUM(L32:M32))+0.6806)))/(SUM(L32:M32)+2.7225)</f>
        <v>0.71631933470841069</v>
      </c>
      <c r="Y32" s="33">
        <f>S32-V32</f>
        <v>0</v>
      </c>
      <c r="Z32" s="34">
        <f>Y32-SQRT((S32-T32)^2+(V32-X32)^2)</f>
        <v>-0.24382728548240709</v>
      </c>
      <c r="AA32" s="35">
        <f>Y32+SQRT((S32-U32)^2+(V32-W32)^2)</f>
        <v>0.24382728548240709</v>
      </c>
      <c r="AB32" s="37" t="s">
        <v>28</v>
      </c>
      <c r="AC32" s="7"/>
      <c r="AD32" s="7"/>
    </row>
    <row r="33" spans="2:30" ht="15.75" customHeight="1" thickBot="1">
      <c r="B33" s="83"/>
      <c r="C33" s="88"/>
      <c r="D33" s="91"/>
      <c r="E33" s="39" t="s">
        <v>34</v>
      </c>
      <c r="F33" s="40" t="s">
        <v>29</v>
      </c>
      <c r="G33" s="32">
        <v>20</v>
      </c>
      <c r="H33" s="30">
        <v>0</v>
      </c>
      <c r="I33" s="30">
        <v>0</v>
      </c>
      <c r="J33" s="31">
        <v>0</v>
      </c>
      <c r="L33" s="32">
        <v>20</v>
      </c>
      <c r="M33" s="31">
        <v>0</v>
      </c>
      <c r="N33" s="7"/>
      <c r="O33" s="7"/>
      <c r="P33" s="33">
        <f>SUM(G33,I33)/SUM(G33:J33)</f>
        <v>1</v>
      </c>
      <c r="Q33" s="34">
        <f>((SUM(G33,I33)+1.3613)-(1.65*SQRT(SUM(G33,I33)-(SUM(G33,I33)^2/SUM(G33:J33))+0.6806)))/(SUM(G33:J33)+2.7225)</f>
        <v>0.88018813951940023</v>
      </c>
      <c r="R33" s="35">
        <f>((SUM(G33,I33)+1.3613)+(1.65*SQRT(SUM(G33,I33)-(SUM(G33,I33)^2/SUM(G33:J33))+0.6806)))/(SUM(G33:J33)+2.7225)</f>
        <v>1.0000011002209452</v>
      </c>
      <c r="S33" s="33">
        <f>G33/SUM(G33:J33)</f>
        <v>1</v>
      </c>
      <c r="T33" s="34">
        <f>((G33+1.3613)-(1.65*SQRT(G33-(G33^2/SUM(G33:J33))+0.6806)))/(SUM(G33:J33)+2.7225)</f>
        <v>0.88018813951940023</v>
      </c>
      <c r="U33" s="35">
        <f>((G33+1.3613)+(1.65*SQRT(G33-(G33^2/SUM(G33:J33))+0.6806)))/(SUM(G33:J33)+2.7225)</f>
        <v>1.0000011002209452</v>
      </c>
      <c r="V33" s="33">
        <f>L33/SUM(L33:M33)</f>
        <v>1</v>
      </c>
      <c r="W33" s="34">
        <f>((L33+1.3613)-(1.65*SQRT(L33-(L33^2/SUM(L33:M33))+0.6806)))/(SUM(L33:M33)+2.7225)</f>
        <v>0.88018813951940023</v>
      </c>
      <c r="X33" s="36">
        <f>((L33+1.3613)+(1.65*SQRT(L33-(L33^2/SUM(L33:M33))+0.6806)))/(SUM(L33:M33)+2.7225)</f>
        <v>1.0000011002209452</v>
      </c>
      <c r="Y33" s="33">
        <f>S33-V33</f>
        <v>0</v>
      </c>
      <c r="Z33" s="34">
        <f>Y33-SQRT((S33-T33)^2+(V33-X33)^2)</f>
        <v>-0.11981186048565139</v>
      </c>
      <c r="AA33" s="35">
        <f>Y33+SQRT((S33-U33)^2+(V33-W33)^2)</f>
        <v>0.11981186048565139</v>
      </c>
      <c r="AB33" s="37" t="s">
        <v>28</v>
      </c>
      <c r="AC33" s="7"/>
      <c r="AD33" s="7"/>
    </row>
    <row r="34" spans="2:30" ht="15.75" customHeight="1">
      <c r="B34" s="83"/>
      <c r="C34" s="92" t="s">
        <v>47</v>
      </c>
      <c r="D34" s="93" t="s">
        <v>48</v>
      </c>
      <c r="E34" s="41" t="s">
        <v>24</v>
      </c>
      <c r="F34" s="23" t="s">
        <v>25</v>
      </c>
      <c r="G34" s="22">
        <v>0</v>
      </c>
      <c r="H34" s="42">
        <v>10</v>
      </c>
      <c r="I34" s="42">
        <v>0</v>
      </c>
      <c r="J34" s="23">
        <v>0</v>
      </c>
      <c r="L34" s="22">
        <v>0</v>
      </c>
      <c r="M34" s="23">
        <v>10</v>
      </c>
      <c r="N34" s="7"/>
      <c r="O34" s="7"/>
      <c r="P34" s="33" t="s">
        <v>26</v>
      </c>
      <c r="Q34" s="34" t="s">
        <v>26</v>
      </c>
      <c r="R34" s="35" t="s">
        <v>26</v>
      </c>
      <c r="S34" s="33" t="s">
        <v>26</v>
      </c>
      <c r="T34" s="34" t="s">
        <v>26</v>
      </c>
      <c r="U34" s="35" t="s">
        <v>26</v>
      </c>
      <c r="V34" s="33" t="s">
        <v>26</v>
      </c>
      <c r="W34" s="34" t="s">
        <v>26</v>
      </c>
      <c r="X34" s="36" t="s">
        <v>26</v>
      </c>
      <c r="Y34" s="33" t="s">
        <v>26</v>
      </c>
      <c r="Z34" s="34" t="s">
        <v>26</v>
      </c>
      <c r="AA34" s="35" t="s">
        <v>26</v>
      </c>
      <c r="AB34" s="37" t="s">
        <v>24</v>
      </c>
      <c r="AC34" s="7"/>
      <c r="AD34" s="7"/>
    </row>
    <row r="35" spans="2:30" ht="15.75" customHeight="1">
      <c r="B35" s="84"/>
      <c r="C35" s="94"/>
      <c r="D35" s="95"/>
      <c r="E35" s="43" t="s">
        <v>24</v>
      </c>
      <c r="F35" s="44" t="s">
        <v>27</v>
      </c>
      <c r="G35" s="45">
        <v>8</v>
      </c>
      <c r="H35" s="46">
        <v>12</v>
      </c>
      <c r="I35" s="46">
        <v>0</v>
      </c>
      <c r="J35" s="44">
        <v>0</v>
      </c>
      <c r="L35" s="45">
        <v>8</v>
      </c>
      <c r="M35" s="44">
        <v>12</v>
      </c>
      <c r="N35" s="7"/>
      <c r="O35" s="7"/>
      <c r="P35" s="47">
        <f>SUM(G35,I35)/SUM(G35:J35)</f>
        <v>0.4</v>
      </c>
      <c r="Q35" s="48">
        <f>((SUM(G35,I35)+1.3613)-(1.65*SQRT(SUM(G35,I35)-(SUM(G35,I35)^2/SUM(G35:J35))+0.6806)))/(SUM(G35:J35)+2.7225)</f>
        <v>0.24198647075497337</v>
      </c>
      <c r="R35" s="49">
        <f>((SUM(G35,I35)+1.3613)+(1.65*SQRT(SUM(G35,I35)-(SUM(G35,I35)^2/SUM(G35:J35))+0.6806)))/(SUM(G35:J35)+2.7225)</f>
        <v>0.5819809624059904</v>
      </c>
      <c r="S35" s="47">
        <f>G35/SUM(G35:J35)</f>
        <v>0.4</v>
      </c>
      <c r="T35" s="48">
        <f>((G35+1.3613)-(1.65*SQRT(G35-(G35^2/SUM(G35:J35))+0.6806)))/(SUM(G35:J35)+2.7225)</f>
        <v>0.24198647075497337</v>
      </c>
      <c r="U35" s="49">
        <f>((G35+1.3613)+(1.65*SQRT(G35-(G35^2/SUM(G35:J35))+0.6806)))/(SUM(G35:J35)+2.7225)</f>
        <v>0.5819809624059904</v>
      </c>
      <c r="V35" s="47">
        <f>L35/SUM(L35:M35)</f>
        <v>0.4</v>
      </c>
      <c r="W35" s="48">
        <f>((L35+1.3613)-(1.65*SQRT(L35-(L35^2/SUM(L35:M35))+0.6806)))/(SUM(L35:M35)+2.7225)</f>
        <v>0.24198647075497337</v>
      </c>
      <c r="X35" s="50">
        <f>((L35+1.3613)+(1.65*SQRT(L35-(L35^2/SUM(L35:M35))+0.6806)))/(SUM(L35:M35)+2.7225)</f>
        <v>0.5819809624059904</v>
      </c>
      <c r="Y35" s="47">
        <f>S35-V35</f>
        <v>0</v>
      </c>
      <c r="Z35" s="48">
        <f>Y35-SQRT((S35-T35)^2+(V35-X35)^2)</f>
        <v>-0.24100901664186627</v>
      </c>
      <c r="AA35" s="49">
        <f>Y35+SQRT((S35-U35)^2+(V35-W35)^2)</f>
        <v>0.24100901664186627</v>
      </c>
      <c r="AB35" s="37" t="s">
        <v>28</v>
      </c>
      <c r="AC35" s="7"/>
      <c r="AD35" s="7"/>
    </row>
    <row r="36" spans="2:30" ht="15.75" customHeight="1" thickBot="1">
      <c r="B36" s="85"/>
      <c r="C36" s="88"/>
      <c r="D36" s="91"/>
      <c r="E36" s="39" t="s">
        <v>24</v>
      </c>
      <c r="F36" s="40" t="s">
        <v>29</v>
      </c>
      <c r="G36" s="51">
        <v>13</v>
      </c>
      <c r="H36" s="39">
        <v>7</v>
      </c>
      <c r="I36" s="39">
        <v>0</v>
      </c>
      <c r="J36" s="40">
        <v>0</v>
      </c>
      <c r="L36" s="51">
        <v>13</v>
      </c>
      <c r="M36" s="40">
        <v>7</v>
      </c>
      <c r="N36" s="7"/>
      <c r="O36" s="7"/>
      <c r="P36" s="52">
        <f>SUM(G36,I36)/SUM(G36:J36)</f>
        <v>0.65</v>
      </c>
      <c r="Q36" s="53">
        <f>((SUM(G36,I36)+1.3613)-(1.65*SQRT(SUM(G36,I36)-(SUM(G36,I36)^2/SUM(G36:J36))+0.6806)))/(SUM(G36:J36)+2.7225)</f>
        <v>0.46595518412280768</v>
      </c>
      <c r="R36" s="54">
        <f>((SUM(G36,I36)+1.3613)+(1.65*SQRT(SUM(G36,I36)-(SUM(G36,I36)^2/SUM(G36:J36))+0.6806)))/(SUM(G36:J36)+2.7225)</f>
        <v>0.79810466844623185</v>
      </c>
      <c r="S36" s="52">
        <f>G36/SUM(G36:J36)</f>
        <v>0.65</v>
      </c>
      <c r="T36" s="53">
        <f>((G36+1.3613)-(1.65*SQRT(G36-(G36^2/SUM(G36:J36))+0.6806)))/(SUM(G36:J36)+2.7225)</f>
        <v>0.46595518412280768</v>
      </c>
      <c r="U36" s="54">
        <f>((G36+1.3613)+(1.65*SQRT(G36-(G36^2/SUM(G36:J36))+0.6806)))/(SUM(G36:J36)+2.7225)</f>
        <v>0.79810466844623185</v>
      </c>
      <c r="V36" s="52">
        <f>L36/SUM(L36:M36)</f>
        <v>0.65</v>
      </c>
      <c r="W36" s="53">
        <f>((L36+1.3613)-(1.65*SQRT(L36-(L36^2/SUM(L36:M36))+0.6806)))/(SUM(L36:M36)+2.7225)</f>
        <v>0.46595518412280768</v>
      </c>
      <c r="X36" s="55">
        <f>((L36+1.3613)+(1.65*SQRT(L36-(L36^2/SUM(L36:M36))+0.6806)))/(SUM(L36:M36)+2.7225)</f>
        <v>0.79810466844623185</v>
      </c>
      <c r="Y36" s="52">
        <f>S36-V36</f>
        <v>0</v>
      </c>
      <c r="Z36" s="53">
        <f>Y36-SQRT((S36-T36)^2+(V36-X36)^2)</f>
        <v>-0.23623608332944798</v>
      </c>
      <c r="AA36" s="54">
        <f>Y36+SQRT((S36-U36)^2+(V36-W36)^2)</f>
        <v>0.23623608332944798</v>
      </c>
      <c r="AB36" s="56" t="s">
        <v>28</v>
      </c>
      <c r="AC36" s="7"/>
      <c r="AD36" s="7"/>
    </row>
    <row r="37" spans="2:30" ht="15.75" customHeight="1" thickBot="1">
      <c r="B37" s="38" t="s">
        <v>49</v>
      </c>
      <c r="D37" s="6"/>
      <c r="E37" s="7"/>
      <c r="F37" s="7"/>
      <c r="G37" s="7"/>
      <c r="H37" s="7"/>
      <c r="I37" s="7"/>
      <c r="J37" s="7"/>
      <c r="L37" s="7"/>
      <c r="M37" s="7"/>
      <c r="N37" s="7"/>
      <c r="O37" s="7"/>
      <c r="P37" s="57"/>
      <c r="Q37" s="57"/>
      <c r="R37" s="57"/>
      <c r="S37" s="57"/>
      <c r="T37" s="57"/>
      <c r="U37" s="57"/>
      <c r="V37" s="57"/>
      <c r="W37" s="57"/>
      <c r="X37" s="57"/>
      <c r="Y37" s="57"/>
      <c r="Z37" s="57"/>
      <c r="AA37" s="57"/>
      <c r="AB37" s="58"/>
      <c r="AC37" s="7"/>
      <c r="AD37" s="7"/>
    </row>
    <row r="38" spans="2:30" ht="15.75" customHeight="1" thickBot="1">
      <c r="B38" s="6"/>
      <c r="C38" s="6"/>
      <c r="D38" s="6"/>
      <c r="E38" s="7"/>
      <c r="F38" s="7"/>
      <c r="G38" s="105" t="s">
        <v>35</v>
      </c>
      <c r="H38" s="106"/>
      <c r="I38" s="106"/>
      <c r="J38" s="107"/>
      <c r="L38" s="108" t="s">
        <v>2</v>
      </c>
      <c r="M38" s="109"/>
      <c r="N38" s="7"/>
      <c r="O38" s="7"/>
      <c r="P38" s="65" t="s">
        <v>36</v>
      </c>
      <c r="Q38" s="66">
        <f>SUM(G40:G42)/SUM(G40:G42,J40:J42)</f>
        <v>0.96250000000000002</v>
      </c>
      <c r="R38" s="57"/>
      <c r="S38" s="57"/>
      <c r="T38" s="57"/>
      <c r="U38" s="57"/>
      <c r="V38" s="57"/>
      <c r="W38" s="57"/>
      <c r="X38" s="57"/>
      <c r="Y38" s="57"/>
      <c r="Z38" s="57"/>
      <c r="AA38" s="57"/>
      <c r="AB38" s="58"/>
      <c r="AC38" s="7"/>
      <c r="AD38" s="7"/>
    </row>
    <row r="39" spans="2:30" ht="15.75" customHeight="1" thickBot="1">
      <c r="B39" s="6"/>
      <c r="C39" s="6"/>
      <c r="D39" s="6"/>
      <c r="E39" s="7"/>
      <c r="F39" s="7"/>
      <c r="G39" s="59" t="s">
        <v>13</v>
      </c>
      <c r="H39" s="60" t="s">
        <v>14</v>
      </c>
      <c r="I39" s="60" t="s">
        <v>15</v>
      </c>
      <c r="J39" s="61" t="s">
        <v>16</v>
      </c>
      <c r="L39" s="59" t="s">
        <v>13</v>
      </c>
      <c r="M39" s="61" t="s">
        <v>14</v>
      </c>
      <c r="N39" s="7"/>
      <c r="O39" s="7"/>
      <c r="P39" s="67" t="s">
        <v>37</v>
      </c>
      <c r="Q39" s="68">
        <f>SUM(H40:H42)/SUM(H40:I42)</f>
        <v>1</v>
      </c>
      <c r="R39" s="57"/>
      <c r="S39" s="57"/>
      <c r="T39" s="57"/>
      <c r="U39" s="57"/>
      <c r="V39" s="57"/>
      <c r="W39" s="57"/>
      <c r="X39" s="57"/>
      <c r="Y39" s="57"/>
      <c r="Z39" s="57"/>
      <c r="AA39" s="57"/>
      <c r="AB39" s="58"/>
      <c r="AC39" s="7"/>
      <c r="AD39" s="7"/>
    </row>
    <row r="40" spans="2:30" ht="15.75" customHeight="1">
      <c r="B40" s="6"/>
      <c r="C40" s="6"/>
      <c r="D40" s="6"/>
      <c r="E40" s="7"/>
      <c r="F40" s="62" t="s">
        <v>25</v>
      </c>
      <c r="G40" s="20">
        <f>SUM(G28,G31,G34)</f>
        <v>0</v>
      </c>
      <c r="H40" s="21">
        <f t="shared" ref="H40:J40" si="2">SUM(H28,H31,H34)</f>
        <v>30</v>
      </c>
      <c r="I40" s="21">
        <f t="shared" si="2"/>
        <v>0</v>
      </c>
      <c r="J40" s="19">
        <f t="shared" si="2"/>
        <v>0</v>
      </c>
      <c r="L40" s="20">
        <f t="shared" ref="L40:M42" si="3">SUM(L28,L31,L34)</f>
        <v>0</v>
      </c>
      <c r="M40" s="19">
        <f t="shared" si="3"/>
        <v>30</v>
      </c>
      <c r="N40" s="7"/>
      <c r="O40" s="7"/>
      <c r="P40" s="67" t="s">
        <v>38</v>
      </c>
      <c r="Q40" s="68">
        <f>1-Q38</f>
        <v>3.7499999999999978E-2</v>
      </c>
      <c r="R40" s="57"/>
      <c r="S40" s="57"/>
      <c r="T40" s="57"/>
      <c r="U40" s="57"/>
      <c r="V40" s="57"/>
      <c r="W40" s="57"/>
      <c r="X40" s="57"/>
      <c r="Y40" s="57"/>
      <c r="Z40" s="57"/>
      <c r="AA40" s="57"/>
      <c r="AB40" s="58"/>
      <c r="AC40" s="7"/>
      <c r="AD40" s="7"/>
    </row>
    <row r="41" spans="2:30" ht="15.75" customHeight="1">
      <c r="B41" s="6"/>
      <c r="C41" s="6"/>
      <c r="D41" s="6"/>
      <c r="E41" s="7"/>
      <c r="F41" s="62" t="s">
        <v>27</v>
      </c>
      <c r="G41" s="32">
        <f t="shared" ref="G41:J42" si="4">SUM(G29,G32,G35)</f>
        <v>26</v>
      </c>
      <c r="H41" s="30">
        <f t="shared" si="4"/>
        <v>31</v>
      </c>
      <c r="I41" s="30">
        <f t="shared" si="4"/>
        <v>0</v>
      </c>
      <c r="J41" s="31">
        <f t="shared" si="4"/>
        <v>3</v>
      </c>
      <c r="L41" s="32">
        <f t="shared" si="3"/>
        <v>29</v>
      </c>
      <c r="M41" s="31">
        <f t="shared" si="3"/>
        <v>31</v>
      </c>
      <c r="N41" s="7"/>
      <c r="O41" s="7"/>
      <c r="P41" s="67" t="s">
        <v>39</v>
      </c>
      <c r="Q41" s="69">
        <f>1-Q39</f>
        <v>0</v>
      </c>
      <c r="R41" s="57"/>
      <c r="S41" s="57"/>
      <c r="T41" s="57"/>
      <c r="U41" s="57"/>
      <c r="V41" s="57"/>
      <c r="W41" s="57"/>
      <c r="X41" s="57"/>
      <c r="Y41" s="57"/>
      <c r="Z41" s="57"/>
      <c r="AA41" s="57"/>
      <c r="AB41" s="58"/>
      <c r="AC41" s="7"/>
      <c r="AD41" s="7"/>
    </row>
    <row r="42" spans="2:30" ht="15.75" customHeight="1" thickBot="1">
      <c r="B42" s="6"/>
      <c r="C42" s="6"/>
      <c r="D42" s="6"/>
      <c r="E42" s="7"/>
      <c r="F42" s="62" t="s">
        <v>29</v>
      </c>
      <c r="G42" s="51">
        <f t="shared" si="4"/>
        <v>51</v>
      </c>
      <c r="H42" s="39">
        <f t="shared" si="4"/>
        <v>9</v>
      </c>
      <c r="I42" s="39">
        <f t="shared" si="4"/>
        <v>0</v>
      </c>
      <c r="J42" s="40">
        <f t="shared" si="4"/>
        <v>0</v>
      </c>
      <c r="L42" s="51">
        <f t="shared" si="3"/>
        <v>51</v>
      </c>
      <c r="M42" s="40">
        <f t="shared" si="3"/>
        <v>9</v>
      </c>
      <c r="N42" s="7"/>
      <c r="O42" s="7"/>
      <c r="P42" s="70" t="s">
        <v>40</v>
      </c>
      <c r="Q42" s="71">
        <f>SUM(G40:H42)/SUM(G40:J42)</f>
        <v>0.98</v>
      </c>
      <c r="R42" s="57"/>
      <c r="S42" s="57"/>
      <c r="T42" s="57"/>
      <c r="U42" s="57"/>
      <c r="V42" s="57"/>
      <c r="W42" s="57"/>
      <c r="X42" s="57"/>
      <c r="Y42" s="57"/>
      <c r="Z42" s="57"/>
      <c r="AA42" s="57"/>
      <c r="AB42" s="58"/>
      <c r="AC42" s="7"/>
      <c r="AD42" s="7"/>
    </row>
    <row r="43" spans="2:30" ht="15.75" customHeight="1">
      <c r="B43" s="6"/>
      <c r="C43" s="6"/>
      <c r="D43" s="6"/>
      <c r="E43" s="7"/>
      <c r="F43" s="7"/>
      <c r="G43" s="7">
        <f>SUM(G40:G42)</f>
        <v>77</v>
      </c>
      <c r="H43" s="7">
        <f>SUM(H40:H42)</f>
        <v>70</v>
      </c>
      <c r="I43" s="7">
        <f>SUM(I40:I42)</f>
        <v>0</v>
      </c>
      <c r="J43" s="7">
        <f>SUM(J40:J42)</f>
        <v>3</v>
      </c>
      <c r="K43" s="7"/>
      <c r="L43" s="7">
        <f>SUM(L40:L42)</f>
        <v>80</v>
      </c>
      <c r="M43" s="7">
        <f>SUM(M40:M42)</f>
        <v>70</v>
      </c>
      <c r="N43" s="7"/>
      <c r="O43" s="7"/>
      <c r="P43" s="57"/>
      <c r="Q43" s="57"/>
      <c r="R43" s="57"/>
      <c r="S43" s="57"/>
      <c r="T43" s="57"/>
      <c r="U43" s="57"/>
      <c r="V43" s="57"/>
      <c r="W43" s="57"/>
      <c r="X43" s="57"/>
      <c r="Y43" s="57"/>
      <c r="Z43" s="57"/>
      <c r="AA43" s="57"/>
      <c r="AB43" s="58"/>
      <c r="AC43" s="7"/>
      <c r="AD43" s="7"/>
    </row>
    <row r="44" spans="2:30" ht="15.75" customHeight="1">
      <c r="B44" s="6"/>
      <c r="C44" s="6"/>
      <c r="D44" s="6"/>
      <c r="E44" s="7"/>
      <c r="F44" s="7"/>
      <c r="N44" s="7"/>
      <c r="O44" s="7"/>
      <c r="P44" s="57"/>
      <c r="Q44" s="57"/>
      <c r="R44" s="57"/>
      <c r="S44" s="57"/>
      <c r="T44" s="57"/>
      <c r="U44" s="57"/>
      <c r="V44" s="57"/>
      <c r="W44" s="57"/>
      <c r="X44" s="57"/>
      <c r="Y44" s="57"/>
      <c r="Z44" s="57"/>
      <c r="AA44" s="57"/>
      <c r="AB44" s="58"/>
      <c r="AC44" s="7"/>
      <c r="AD44" s="7"/>
    </row>
    <row r="45" spans="2:30" ht="15.75" customHeight="1">
      <c r="B45" s="6"/>
      <c r="C45" s="6"/>
      <c r="D45" s="6"/>
      <c r="E45" s="7"/>
      <c r="F45" s="7"/>
      <c r="N45" s="7"/>
      <c r="O45" s="7"/>
      <c r="P45" s="57"/>
      <c r="Q45" s="57"/>
      <c r="R45" s="57"/>
      <c r="S45" s="57"/>
      <c r="T45" s="57"/>
      <c r="U45" s="57"/>
      <c r="V45" s="57"/>
      <c r="W45" s="57"/>
      <c r="X45" s="57"/>
      <c r="Y45" s="57"/>
      <c r="Z45" s="57"/>
      <c r="AA45" s="57"/>
      <c r="AB45" s="58"/>
      <c r="AC45" s="7"/>
      <c r="AD45" s="7"/>
    </row>
    <row r="46" spans="2:30" ht="15.75" customHeight="1">
      <c r="B46" s="6"/>
      <c r="C46" s="6"/>
      <c r="D46" s="6"/>
      <c r="E46" s="7"/>
      <c r="F46" s="7"/>
      <c r="N46" s="7"/>
      <c r="O46" s="7"/>
      <c r="P46" s="57"/>
      <c r="Q46" s="57"/>
      <c r="R46" s="57"/>
      <c r="S46" s="57"/>
      <c r="T46" s="57"/>
      <c r="U46" s="57"/>
      <c r="V46" s="57"/>
      <c r="W46" s="57"/>
      <c r="X46" s="57"/>
      <c r="Y46" s="57"/>
      <c r="Z46" s="57"/>
      <c r="AA46" s="57"/>
      <c r="AB46" s="58"/>
      <c r="AC46" s="7"/>
      <c r="AD46" s="7"/>
    </row>
    <row r="47" spans="2:30" ht="15.75" customHeight="1" thickBot="1"/>
    <row r="48" spans="2:30" ht="15.75" customHeight="1" thickBot="1">
      <c r="B48" s="4"/>
      <c r="C48" s="4"/>
      <c r="D48" s="4"/>
      <c r="E48" s="4"/>
      <c r="F48" s="4"/>
      <c r="G48" s="96" t="s">
        <v>1</v>
      </c>
      <c r="H48" s="97"/>
      <c r="I48" s="97"/>
      <c r="J48" s="98"/>
      <c r="K48" s="6"/>
      <c r="L48" s="96" t="s">
        <v>2</v>
      </c>
      <c r="M48" s="99"/>
      <c r="N48" s="7"/>
      <c r="O48" s="7"/>
      <c r="P48" s="100" t="s">
        <v>3</v>
      </c>
      <c r="Q48" s="101"/>
      <c r="R48" s="102"/>
      <c r="S48" s="103" t="s">
        <v>4</v>
      </c>
      <c r="T48" s="101"/>
      <c r="U48" s="104"/>
      <c r="V48" s="100" t="s">
        <v>5</v>
      </c>
      <c r="W48" s="101"/>
      <c r="X48" s="102"/>
      <c r="Y48" s="103" t="s">
        <v>6</v>
      </c>
      <c r="Z48" s="101"/>
      <c r="AA48" s="104"/>
      <c r="AB48" s="80" t="s">
        <v>7</v>
      </c>
      <c r="AC48" s="7"/>
      <c r="AD48" s="7"/>
    </row>
    <row r="49" spans="2:30" ht="15.75" customHeight="1" thickBot="1">
      <c r="B49" s="5" t="s">
        <v>8</v>
      </c>
      <c r="C49" s="8" t="s">
        <v>9</v>
      </c>
      <c r="D49" s="9" t="s">
        <v>10</v>
      </c>
      <c r="E49" s="9" t="s">
        <v>11</v>
      </c>
      <c r="F49" s="10" t="s">
        <v>12</v>
      </c>
      <c r="G49" s="8" t="s">
        <v>13</v>
      </c>
      <c r="H49" s="9" t="s">
        <v>14</v>
      </c>
      <c r="I49" s="9" t="s">
        <v>15</v>
      </c>
      <c r="J49" s="11" t="s">
        <v>16</v>
      </c>
      <c r="L49" s="8" t="s">
        <v>13</v>
      </c>
      <c r="M49" s="11" t="s">
        <v>14</v>
      </c>
      <c r="N49" s="12"/>
      <c r="O49" s="12"/>
      <c r="P49" s="13" t="s">
        <v>17</v>
      </c>
      <c r="Q49" s="14" t="s">
        <v>18</v>
      </c>
      <c r="R49" s="15" t="s">
        <v>19</v>
      </c>
      <c r="S49" s="16" t="s">
        <v>17</v>
      </c>
      <c r="T49" s="14" t="s">
        <v>18</v>
      </c>
      <c r="U49" s="17" t="s">
        <v>19</v>
      </c>
      <c r="V49" s="13" t="s">
        <v>17</v>
      </c>
      <c r="W49" s="14" t="s">
        <v>18</v>
      </c>
      <c r="X49" s="15" t="s">
        <v>19</v>
      </c>
      <c r="Y49" s="16" t="s">
        <v>20</v>
      </c>
      <c r="Z49" s="14" t="s">
        <v>18</v>
      </c>
      <c r="AA49" s="17" t="s">
        <v>19</v>
      </c>
      <c r="AB49" s="81"/>
      <c r="AC49" s="12"/>
      <c r="AD49" s="12"/>
    </row>
    <row r="50" spans="2:30" ht="15.75" customHeight="1">
      <c r="B50" s="82" t="s">
        <v>50</v>
      </c>
      <c r="C50" s="86" t="s">
        <v>51</v>
      </c>
      <c r="D50" s="89" t="s">
        <v>52</v>
      </c>
      <c r="E50" s="18" t="s">
        <v>24</v>
      </c>
      <c r="F50" s="19" t="s">
        <v>25</v>
      </c>
      <c r="G50" s="20">
        <v>0</v>
      </c>
      <c r="H50" s="21">
        <v>10</v>
      </c>
      <c r="I50" s="21">
        <v>0</v>
      </c>
      <c r="J50" s="19">
        <v>0</v>
      </c>
      <c r="L50" s="20">
        <v>0</v>
      </c>
      <c r="M50" s="19">
        <v>10</v>
      </c>
      <c r="N50" s="7"/>
      <c r="O50" s="7"/>
      <c r="P50" s="24" t="s">
        <v>26</v>
      </c>
      <c r="Q50" s="25" t="s">
        <v>26</v>
      </c>
      <c r="R50" s="26" t="s">
        <v>26</v>
      </c>
      <c r="S50" s="27" t="s">
        <v>26</v>
      </c>
      <c r="T50" s="25" t="s">
        <v>26</v>
      </c>
      <c r="U50" s="26" t="s">
        <v>26</v>
      </c>
      <c r="V50" s="27" t="s">
        <v>26</v>
      </c>
      <c r="W50" s="25" t="s">
        <v>26</v>
      </c>
      <c r="X50" s="28" t="s">
        <v>26</v>
      </c>
      <c r="Y50" s="27" t="s">
        <v>26</v>
      </c>
      <c r="Z50" s="25" t="s">
        <v>26</v>
      </c>
      <c r="AA50" s="26" t="s">
        <v>26</v>
      </c>
      <c r="AB50" s="29" t="s">
        <v>24</v>
      </c>
      <c r="AC50" s="7"/>
      <c r="AD50" s="7"/>
    </row>
    <row r="51" spans="2:30" ht="15.75" customHeight="1">
      <c r="B51" s="83"/>
      <c r="C51" s="87"/>
      <c r="D51" s="90"/>
      <c r="E51" s="30" t="s">
        <v>24</v>
      </c>
      <c r="F51" s="31" t="s">
        <v>27</v>
      </c>
      <c r="G51" s="32">
        <v>11</v>
      </c>
      <c r="H51" s="30">
        <v>9</v>
      </c>
      <c r="I51" s="30">
        <v>0</v>
      </c>
      <c r="J51" s="31">
        <v>0</v>
      </c>
      <c r="L51" s="32">
        <v>11</v>
      </c>
      <c r="M51" s="31">
        <v>9</v>
      </c>
      <c r="N51" s="7"/>
      <c r="O51" s="7"/>
      <c r="P51" s="33">
        <f>SUM(G51,I51)/SUM(G51:J51)</f>
        <v>0.55000000000000004</v>
      </c>
      <c r="Q51" s="34">
        <f>((SUM(G51,I51)+1.3613)-(1.65*SQRT(SUM(G51,I51)-(SUM(G51,I51)^2/SUM(G51:J51))+0.6806)))/(SUM(G51:J51)+2.7225)</f>
        <v>0.37170355009739847</v>
      </c>
      <c r="R51" s="35">
        <f>((SUM(G51,I51)+1.3613)+(1.65*SQRT(SUM(G51,I51)-(SUM(G51,I51)^2/SUM(G51:J51))+0.6806)))/(SUM(G51:J51)+2.7225)</f>
        <v>0.71631933470841069</v>
      </c>
      <c r="S51" s="33">
        <f>G51/SUM(G51:J51)</f>
        <v>0.55000000000000004</v>
      </c>
      <c r="T51" s="34">
        <f>((G51+1.3613)-(1.65*SQRT(G51-(G51^2/SUM(G51:J51))+0.6806)))/(SUM(G51:J51)+2.7225)</f>
        <v>0.37170355009739847</v>
      </c>
      <c r="U51" s="35">
        <f>((G51+1.3613)+(1.65*SQRT(G51-(G51^2/SUM(G51:J51))+0.6806)))/(SUM(G51:J51)+2.7225)</f>
        <v>0.71631933470841069</v>
      </c>
      <c r="V51" s="33">
        <f>L51/SUM(L51:M51)</f>
        <v>0.55000000000000004</v>
      </c>
      <c r="W51" s="34">
        <f>((L51+1.3613)-(1.65*SQRT(L51-(L51^2/SUM(L51:M51))+0.6806)))/(SUM(L51:M51)+2.7225)</f>
        <v>0.37170355009739847</v>
      </c>
      <c r="X51" s="36">
        <f>((L51+1.3613)+(1.65*SQRT(L51-(L51^2/SUM(L51:M51))+0.6806)))/(SUM(L51:M51)+2.7225)</f>
        <v>0.71631933470841069</v>
      </c>
      <c r="Y51" s="33">
        <f>S51-V51</f>
        <v>0</v>
      </c>
      <c r="Z51" s="34">
        <f>Y51-SQRT((S51-T51)^2+(V51-X51)^2)</f>
        <v>-0.24382728548240709</v>
      </c>
      <c r="AA51" s="35">
        <f>Y51+SQRT((S51-U51)^2+(V51-W51)^2)</f>
        <v>0.24382728548240709</v>
      </c>
      <c r="AB51" s="37" t="s">
        <v>28</v>
      </c>
      <c r="AC51" s="38"/>
      <c r="AD51" s="7"/>
    </row>
    <row r="52" spans="2:30" ht="15.75" customHeight="1" thickBot="1">
      <c r="B52" s="83"/>
      <c r="C52" s="88"/>
      <c r="D52" s="91"/>
      <c r="E52" s="39" t="s">
        <v>24</v>
      </c>
      <c r="F52" s="40" t="s">
        <v>29</v>
      </c>
      <c r="G52" s="32">
        <v>20</v>
      </c>
      <c r="H52" s="30">
        <v>0</v>
      </c>
      <c r="I52" s="30">
        <v>0</v>
      </c>
      <c r="J52" s="31">
        <v>0</v>
      </c>
      <c r="L52" s="32">
        <v>20</v>
      </c>
      <c r="M52" s="31">
        <v>0</v>
      </c>
      <c r="N52" s="7"/>
      <c r="O52" s="7"/>
      <c r="P52" s="33">
        <f>SUM(G52,I52)/SUM(G52:J52)</f>
        <v>1</v>
      </c>
      <c r="Q52" s="34">
        <f>((SUM(G52,I52)+1.3613)-(1.65*SQRT(SUM(G52,I52)-(SUM(G52,I52)^2/SUM(G52:J52))+0.6806)))/(SUM(G52:J52)+2.7225)</f>
        <v>0.88018813951940023</v>
      </c>
      <c r="R52" s="35">
        <f>((SUM(G52,I52)+1.3613)+(1.65*SQRT(SUM(G52,I52)-(SUM(G52,I52)^2/SUM(G52:J52))+0.6806)))/(SUM(G52:J52)+2.7225)</f>
        <v>1.0000011002209452</v>
      </c>
      <c r="S52" s="33">
        <f>G52/SUM(G52:J52)</f>
        <v>1</v>
      </c>
      <c r="T52" s="34">
        <f>((G52+1.3613)-(1.65*SQRT(G52-(G52^2/SUM(G52:J52))+0.6806)))/(SUM(G52:J52)+2.7225)</f>
        <v>0.88018813951940023</v>
      </c>
      <c r="U52" s="35">
        <f>((G52+1.3613)+(1.65*SQRT(G52-(G52^2/SUM(G52:J52))+0.6806)))/(SUM(G52:J52)+2.7225)</f>
        <v>1.0000011002209452</v>
      </c>
      <c r="V52" s="33">
        <f>L52/SUM(L52:M52)</f>
        <v>1</v>
      </c>
      <c r="W52" s="34">
        <f>((L52+1.3613)-(1.65*SQRT(L52-(L52^2/SUM(L52:M52))+0.6806)))/(SUM(L52:M52)+2.7225)</f>
        <v>0.88018813951940023</v>
      </c>
      <c r="X52" s="36">
        <f>((L52+1.3613)+(1.65*SQRT(L52-(L52^2/SUM(L52:M52))+0.6806)))/(SUM(L52:M52)+2.7225)</f>
        <v>1.0000011002209452</v>
      </c>
      <c r="Y52" s="33">
        <f>S52-V52</f>
        <v>0</v>
      </c>
      <c r="Z52" s="34">
        <f>Y52-SQRT((S52-T52)^2+(V52-X52)^2)</f>
        <v>-0.11981186048565139</v>
      </c>
      <c r="AA52" s="35">
        <f>Y52+SQRT((S52-U52)^2+(V52-W52)^2)</f>
        <v>0.11981186048565139</v>
      </c>
      <c r="AB52" s="37" t="s">
        <v>28</v>
      </c>
      <c r="AC52" s="7"/>
      <c r="AD52" s="7"/>
    </row>
    <row r="53" spans="2:30" ht="15.75" customHeight="1">
      <c r="B53" s="83"/>
      <c r="C53" s="92" t="s">
        <v>53</v>
      </c>
      <c r="D53" s="93" t="s">
        <v>54</v>
      </c>
      <c r="E53" s="41" t="s">
        <v>34</v>
      </c>
      <c r="F53" s="23" t="s">
        <v>25</v>
      </c>
      <c r="G53" s="22">
        <v>0</v>
      </c>
      <c r="H53" s="42">
        <v>10</v>
      </c>
      <c r="I53" s="42">
        <v>0</v>
      </c>
      <c r="J53" s="23">
        <v>0</v>
      </c>
      <c r="L53" s="22">
        <v>0</v>
      </c>
      <c r="M53" s="23">
        <v>10</v>
      </c>
      <c r="N53" s="7"/>
      <c r="O53" s="7"/>
      <c r="P53" s="33" t="s">
        <v>26</v>
      </c>
      <c r="Q53" s="34" t="s">
        <v>26</v>
      </c>
      <c r="R53" s="35" t="s">
        <v>26</v>
      </c>
      <c r="S53" s="33" t="s">
        <v>26</v>
      </c>
      <c r="T53" s="34" t="s">
        <v>26</v>
      </c>
      <c r="U53" s="35" t="s">
        <v>26</v>
      </c>
      <c r="V53" s="33" t="s">
        <v>26</v>
      </c>
      <c r="W53" s="34" t="s">
        <v>26</v>
      </c>
      <c r="X53" s="36" t="s">
        <v>26</v>
      </c>
      <c r="Y53" s="33" t="s">
        <v>26</v>
      </c>
      <c r="Z53" s="34" t="s">
        <v>26</v>
      </c>
      <c r="AA53" s="35" t="s">
        <v>26</v>
      </c>
      <c r="AB53" s="37" t="s">
        <v>24</v>
      </c>
      <c r="AC53" s="7"/>
      <c r="AD53" s="7"/>
    </row>
    <row r="54" spans="2:30" ht="15.75" customHeight="1">
      <c r="B54" s="83"/>
      <c r="C54" s="87"/>
      <c r="D54" s="90"/>
      <c r="E54" s="30" t="s">
        <v>34</v>
      </c>
      <c r="F54" s="31" t="s">
        <v>27</v>
      </c>
      <c r="G54" s="32">
        <v>16</v>
      </c>
      <c r="H54" s="30">
        <v>4</v>
      </c>
      <c r="I54" s="30">
        <v>0</v>
      </c>
      <c r="J54" s="31">
        <v>0</v>
      </c>
      <c r="L54" s="32">
        <v>16</v>
      </c>
      <c r="M54" s="31">
        <v>4</v>
      </c>
      <c r="N54" s="7"/>
      <c r="O54" s="7"/>
      <c r="P54" s="33">
        <f>SUM(G54,I54)/SUM(G54:J54)</f>
        <v>0.8</v>
      </c>
      <c r="Q54" s="34">
        <f>((SUM(G54,I54)+1.3613)-(1.65*SQRT(SUM(G54,I54)-(SUM(G54,I54)^2/SUM(G54:J54))+0.6806)))/(SUM(G54:J54)+2.7225)</f>
        <v>0.62101114036509186</v>
      </c>
      <c r="R54" s="35">
        <f>((SUM(G54,I54)+1.3613)+(1.65*SQRT(SUM(G54,I54)-(SUM(G54,I54)^2/SUM(G54:J54))+0.6806)))/(SUM(G54:J54)+2.7225)</f>
        <v>0.907104163848793</v>
      </c>
      <c r="S54" s="33">
        <f>G54/SUM(G54:J54)</f>
        <v>0.8</v>
      </c>
      <c r="T54" s="34">
        <f>((G54+1.3613)-(1.65*SQRT(G54-(G54^2/SUM(G54:J54))+0.6806)))/(SUM(G54:J54)+2.7225)</f>
        <v>0.62101114036509186</v>
      </c>
      <c r="U54" s="35">
        <f>((G54+1.3613)+(1.65*SQRT(G54-(G54^2/SUM(G54:J54))+0.6806)))/(SUM(G54:J54)+2.7225)</f>
        <v>0.907104163848793</v>
      </c>
      <c r="V54" s="33">
        <f>L54/SUM(L54:M54)</f>
        <v>0.8</v>
      </c>
      <c r="W54" s="34">
        <f>((L54+1.3613)-(1.65*SQRT(L54-(L54^2/SUM(L54:M54))+0.6806)))/(SUM(L54:M54)+2.7225)</f>
        <v>0.62101114036509186</v>
      </c>
      <c r="X54" s="36">
        <f>((L54+1.3613)+(1.65*SQRT(L54-(L54^2/SUM(L54:M54))+0.6806)))/(SUM(L54:M54)+2.7225)</f>
        <v>0.907104163848793</v>
      </c>
      <c r="Y54" s="33">
        <f>S54-V54</f>
        <v>0</v>
      </c>
      <c r="Z54" s="34">
        <f>Y54-SQRT((S54-T54)^2+(V54-X54)^2)</f>
        <v>-0.20858646597311617</v>
      </c>
      <c r="AA54" s="35">
        <f>Y54+SQRT((S54-U54)^2+(V54-W54)^2)</f>
        <v>0.20858646597311617</v>
      </c>
      <c r="AB54" s="37" t="s">
        <v>28</v>
      </c>
      <c r="AC54" s="7"/>
      <c r="AD54" s="7"/>
    </row>
    <row r="55" spans="2:30" ht="15.75" customHeight="1" thickBot="1">
      <c r="B55" s="83"/>
      <c r="C55" s="88"/>
      <c r="D55" s="91"/>
      <c r="E55" s="39" t="s">
        <v>34</v>
      </c>
      <c r="F55" s="40" t="s">
        <v>29</v>
      </c>
      <c r="G55" s="32">
        <v>20</v>
      </c>
      <c r="H55" s="30">
        <v>0</v>
      </c>
      <c r="I55" s="30">
        <v>0</v>
      </c>
      <c r="J55" s="31">
        <v>0</v>
      </c>
      <c r="L55" s="32">
        <v>20</v>
      </c>
      <c r="M55" s="31">
        <v>0</v>
      </c>
      <c r="N55" s="7"/>
      <c r="O55" s="7"/>
      <c r="P55" s="33">
        <f>SUM(G55,I55)/SUM(G55:J55)</f>
        <v>1</v>
      </c>
      <c r="Q55" s="34">
        <f>((SUM(G55,I55)+1.3613)-(1.65*SQRT(SUM(G55,I55)-(SUM(G55,I55)^2/SUM(G55:J55))+0.6806)))/(SUM(G55:J55)+2.7225)</f>
        <v>0.88018813951940023</v>
      </c>
      <c r="R55" s="35">
        <f>((SUM(G55,I55)+1.3613)+(1.65*SQRT(SUM(G55,I55)-(SUM(G55,I55)^2/SUM(G55:J55))+0.6806)))/(SUM(G55:J55)+2.7225)</f>
        <v>1.0000011002209452</v>
      </c>
      <c r="S55" s="33">
        <f>G55/SUM(G55:J55)</f>
        <v>1</v>
      </c>
      <c r="T55" s="34">
        <f>((G55+1.3613)-(1.65*SQRT(G55-(G55^2/SUM(G55:J55))+0.6806)))/(SUM(G55:J55)+2.7225)</f>
        <v>0.88018813951940023</v>
      </c>
      <c r="U55" s="35">
        <f>((G55+1.3613)+(1.65*SQRT(G55-(G55^2/SUM(G55:J55))+0.6806)))/(SUM(G55:J55)+2.7225)</f>
        <v>1.0000011002209452</v>
      </c>
      <c r="V55" s="33">
        <f>L55/SUM(L55:M55)</f>
        <v>1</v>
      </c>
      <c r="W55" s="34">
        <f>((L55+1.3613)-(1.65*SQRT(L55-(L55^2/SUM(L55:M55))+0.6806)))/(SUM(L55:M55)+2.7225)</f>
        <v>0.88018813951940023</v>
      </c>
      <c r="X55" s="36">
        <f>((L55+1.3613)+(1.65*SQRT(L55-(L55^2/SUM(L55:M55))+0.6806)))/(SUM(L55:M55)+2.7225)</f>
        <v>1.0000011002209452</v>
      </c>
      <c r="Y55" s="33">
        <f>S55-V55</f>
        <v>0</v>
      </c>
      <c r="Z55" s="34">
        <f>Y55-SQRT((S55-T55)^2+(V55-X55)^2)</f>
        <v>-0.11981186048565139</v>
      </c>
      <c r="AA55" s="35">
        <f>Y55+SQRT((S55-U55)^2+(V55-W55)^2)</f>
        <v>0.11981186048565139</v>
      </c>
      <c r="AB55" s="37" t="s">
        <v>28</v>
      </c>
      <c r="AC55" s="7"/>
      <c r="AD55" s="7"/>
    </row>
    <row r="56" spans="2:30" ht="15.75" customHeight="1">
      <c r="B56" s="83"/>
      <c r="C56" s="92" t="s">
        <v>55</v>
      </c>
      <c r="D56" s="93" t="s">
        <v>56</v>
      </c>
      <c r="E56" s="41" t="s">
        <v>24</v>
      </c>
      <c r="F56" s="23" t="s">
        <v>25</v>
      </c>
      <c r="G56" s="22">
        <v>0</v>
      </c>
      <c r="H56" s="42">
        <v>10</v>
      </c>
      <c r="I56" s="42">
        <v>0</v>
      </c>
      <c r="J56" s="23">
        <v>0</v>
      </c>
      <c r="L56" s="22">
        <v>0</v>
      </c>
      <c r="M56" s="23">
        <v>10</v>
      </c>
      <c r="N56" s="7"/>
      <c r="O56" s="7"/>
      <c r="P56" s="33" t="s">
        <v>26</v>
      </c>
      <c r="Q56" s="34" t="s">
        <v>26</v>
      </c>
      <c r="R56" s="35" t="s">
        <v>26</v>
      </c>
      <c r="S56" s="33" t="s">
        <v>26</v>
      </c>
      <c r="T56" s="34" t="s">
        <v>26</v>
      </c>
      <c r="U56" s="35" t="s">
        <v>26</v>
      </c>
      <c r="V56" s="33" t="s">
        <v>26</v>
      </c>
      <c r="W56" s="34" t="s">
        <v>26</v>
      </c>
      <c r="X56" s="36" t="s">
        <v>26</v>
      </c>
      <c r="Y56" s="33" t="s">
        <v>26</v>
      </c>
      <c r="Z56" s="34" t="s">
        <v>26</v>
      </c>
      <c r="AA56" s="35" t="s">
        <v>26</v>
      </c>
      <c r="AB56" s="37" t="s">
        <v>24</v>
      </c>
      <c r="AC56" s="7"/>
      <c r="AD56" s="7"/>
    </row>
    <row r="57" spans="2:30" ht="15.75" customHeight="1">
      <c r="B57" s="84"/>
      <c r="C57" s="94"/>
      <c r="D57" s="95"/>
      <c r="E57" s="43" t="s">
        <v>24</v>
      </c>
      <c r="F57" s="44" t="s">
        <v>27</v>
      </c>
      <c r="G57" s="45">
        <v>13</v>
      </c>
      <c r="H57" s="46">
        <v>7</v>
      </c>
      <c r="I57" s="46">
        <v>0</v>
      </c>
      <c r="J57" s="44">
        <v>0</v>
      </c>
      <c r="L57" s="45">
        <v>13</v>
      </c>
      <c r="M57" s="44">
        <v>7</v>
      </c>
      <c r="N57" s="7"/>
      <c r="O57" s="7"/>
      <c r="P57" s="47">
        <f>SUM(G57,I57)/SUM(G57:J57)</f>
        <v>0.65</v>
      </c>
      <c r="Q57" s="48">
        <f>((SUM(G57,I57)+1.3613)-(1.65*SQRT(SUM(G57,I57)-(SUM(G57,I57)^2/SUM(G57:J57))+0.6806)))/(SUM(G57:J57)+2.7225)</f>
        <v>0.46595518412280768</v>
      </c>
      <c r="R57" s="49">
        <f>((SUM(G57,I57)+1.3613)+(1.65*SQRT(SUM(G57,I57)-(SUM(G57,I57)^2/SUM(G57:J57))+0.6806)))/(SUM(G57:J57)+2.7225)</f>
        <v>0.79810466844623185</v>
      </c>
      <c r="S57" s="47">
        <f>G57/SUM(G57:J57)</f>
        <v>0.65</v>
      </c>
      <c r="T57" s="48">
        <f>((G57+1.3613)-(1.65*SQRT(G57-(G57^2/SUM(G57:J57))+0.6806)))/(SUM(G57:J57)+2.7225)</f>
        <v>0.46595518412280768</v>
      </c>
      <c r="U57" s="49">
        <f>((G57+1.3613)+(1.65*SQRT(G57-(G57^2/SUM(G57:J57))+0.6806)))/(SUM(G57:J57)+2.7225)</f>
        <v>0.79810466844623185</v>
      </c>
      <c r="V57" s="47">
        <f>L57/SUM(L57:M57)</f>
        <v>0.65</v>
      </c>
      <c r="W57" s="48">
        <f>((L57+1.3613)-(1.65*SQRT(L57-(L57^2/SUM(L57:M57))+0.6806)))/(SUM(L57:M57)+2.7225)</f>
        <v>0.46595518412280768</v>
      </c>
      <c r="X57" s="50">
        <f>((L57+1.3613)+(1.65*SQRT(L57-(L57^2/SUM(L57:M57))+0.6806)))/(SUM(L57:M57)+2.7225)</f>
        <v>0.79810466844623185</v>
      </c>
      <c r="Y57" s="47">
        <f>S57-V57</f>
        <v>0</v>
      </c>
      <c r="Z57" s="48">
        <f>Y57-SQRT((S57-T57)^2+(V57-X57)^2)</f>
        <v>-0.23623608332944798</v>
      </c>
      <c r="AA57" s="49">
        <f>Y57+SQRT((S57-U57)^2+(V57-W57)^2)</f>
        <v>0.23623608332944798</v>
      </c>
      <c r="AB57" s="37" t="s">
        <v>28</v>
      </c>
      <c r="AC57" s="7"/>
      <c r="AD57" s="7"/>
    </row>
    <row r="58" spans="2:30" ht="15.75" customHeight="1" thickBot="1">
      <c r="B58" s="85"/>
      <c r="C58" s="88"/>
      <c r="D58" s="91"/>
      <c r="E58" s="39" t="s">
        <v>24</v>
      </c>
      <c r="F58" s="40" t="s">
        <v>29</v>
      </c>
      <c r="G58" s="51">
        <v>20</v>
      </c>
      <c r="H58" s="39">
        <v>0</v>
      </c>
      <c r="I58" s="39">
        <v>0</v>
      </c>
      <c r="J58" s="40">
        <v>0</v>
      </c>
      <c r="L58" s="51">
        <v>20</v>
      </c>
      <c r="M58" s="40">
        <v>0</v>
      </c>
      <c r="N58" s="7"/>
      <c r="O58" s="7"/>
      <c r="P58" s="52">
        <f>SUM(G58,I58)/SUM(G58:J58)</f>
        <v>1</v>
      </c>
      <c r="Q58" s="53">
        <f>((SUM(G58,I58)+1.3613)-(1.65*SQRT(SUM(G58,I58)-(SUM(G58,I58)^2/SUM(G58:J58))+0.6806)))/(SUM(G58:J58)+2.7225)</f>
        <v>0.88018813951940023</v>
      </c>
      <c r="R58" s="54">
        <f>((SUM(G58,I58)+1.3613)+(1.65*SQRT(SUM(G58,I58)-(SUM(G58,I58)^2/SUM(G58:J58))+0.6806)))/(SUM(G58:J58)+2.7225)</f>
        <v>1.0000011002209452</v>
      </c>
      <c r="S58" s="52">
        <f>G58/SUM(G58:J58)</f>
        <v>1</v>
      </c>
      <c r="T58" s="53">
        <f>((G58+1.3613)-(1.65*SQRT(G58-(G58^2/SUM(G58:J58))+0.6806)))/(SUM(G58:J58)+2.7225)</f>
        <v>0.88018813951940023</v>
      </c>
      <c r="U58" s="54">
        <f>((G58+1.3613)+(1.65*SQRT(G58-(G58^2/SUM(G58:J58))+0.6806)))/(SUM(G58:J58)+2.7225)</f>
        <v>1.0000011002209452</v>
      </c>
      <c r="V58" s="52">
        <f>L58/SUM(L58:M58)</f>
        <v>1</v>
      </c>
      <c r="W58" s="53">
        <f>((L58+1.3613)-(1.65*SQRT(L58-(L58^2/SUM(L58:M58))+0.6806)))/(SUM(L58:M58)+2.7225)</f>
        <v>0.88018813951940023</v>
      </c>
      <c r="X58" s="55">
        <f>((L58+1.3613)+(1.65*SQRT(L58-(L58^2/SUM(L58:M58))+0.6806)))/(SUM(L58:M58)+2.7225)</f>
        <v>1.0000011002209452</v>
      </c>
      <c r="Y58" s="52">
        <f>S58-V58</f>
        <v>0</v>
      </c>
      <c r="Z58" s="53">
        <f>Y58-SQRT((S58-T58)^2+(V58-X58)^2)</f>
        <v>-0.11981186048565139</v>
      </c>
      <c r="AA58" s="54">
        <f>Y58+SQRT((S58-U58)^2+(V58-W58)^2)</f>
        <v>0.11981186048565139</v>
      </c>
      <c r="AB58" s="56" t="s">
        <v>28</v>
      </c>
      <c r="AC58" s="7"/>
      <c r="AD58" s="7"/>
    </row>
    <row r="59" spans="2:30" ht="15.75" customHeight="1" thickBot="1"/>
    <row r="60" spans="2:30" ht="15.75" customHeight="1" thickBot="1">
      <c r="G60" s="105" t="s">
        <v>35</v>
      </c>
      <c r="H60" s="106"/>
      <c r="I60" s="106"/>
      <c r="J60" s="107"/>
      <c r="L60" s="108" t="s">
        <v>2</v>
      </c>
      <c r="M60" s="109"/>
      <c r="P60" s="65" t="s">
        <v>36</v>
      </c>
      <c r="Q60" s="66">
        <f>SUM(G62:G64)/SUM(G62:G64,J62:J64)</f>
        <v>1</v>
      </c>
    </row>
    <row r="61" spans="2:30" ht="15.75" customHeight="1" thickBot="1">
      <c r="G61" s="59" t="s">
        <v>13</v>
      </c>
      <c r="H61" s="60" t="s">
        <v>14</v>
      </c>
      <c r="I61" s="60" t="s">
        <v>15</v>
      </c>
      <c r="J61" s="61" t="s">
        <v>16</v>
      </c>
      <c r="L61" s="59" t="s">
        <v>13</v>
      </c>
      <c r="M61" s="61" t="s">
        <v>14</v>
      </c>
      <c r="P61" s="67" t="s">
        <v>37</v>
      </c>
      <c r="Q61" s="68">
        <f>SUM(H62:H64)/SUM(H62:I64)</f>
        <v>1</v>
      </c>
    </row>
    <row r="62" spans="2:30" ht="15.75" customHeight="1">
      <c r="F62" s="62" t="s">
        <v>25</v>
      </c>
      <c r="G62" s="20">
        <f>SUM(G50,G53,G56)</f>
        <v>0</v>
      </c>
      <c r="H62" s="21">
        <f t="shared" ref="H62:J62" si="5">SUM(H50,H53,H56)</f>
        <v>30</v>
      </c>
      <c r="I62" s="21">
        <f t="shared" si="5"/>
        <v>0</v>
      </c>
      <c r="J62" s="19">
        <f t="shared" si="5"/>
        <v>0</v>
      </c>
      <c r="L62" s="20">
        <f t="shared" ref="L62:M64" si="6">SUM(L50,L53,L56)</f>
        <v>0</v>
      </c>
      <c r="M62" s="19">
        <f t="shared" si="6"/>
        <v>30</v>
      </c>
      <c r="P62" s="67" t="s">
        <v>38</v>
      </c>
      <c r="Q62" s="68">
        <f>1-Q60</f>
        <v>0</v>
      </c>
    </row>
    <row r="63" spans="2:30" ht="15.75" customHeight="1">
      <c r="F63" s="62" t="s">
        <v>27</v>
      </c>
      <c r="G63" s="32">
        <f t="shared" ref="G63:J64" si="7">SUM(G51,G54,G57)</f>
        <v>40</v>
      </c>
      <c r="H63" s="30">
        <f t="shared" si="7"/>
        <v>20</v>
      </c>
      <c r="I63" s="30">
        <f t="shared" si="7"/>
        <v>0</v>
      </c>
      <c r="J63" s="31">
        <f t="shared" si="7"/>
        <v>0</v>
      </c>
      <c r="L63" s="32">
        <f t="shared" si="6"/>
        <v>40</v>
      </c>
      <c r="M63" s="31">
        <f t="shared" si="6"/>
        <v>20</v>
      </c>
      <c r="P63" s="67" t="s">
        <v>39</v>
      </c>
      <c r="Q63" s="69">
        <f>1-Q61</f>
        <v>0</v>
      </c>
    </row>
    <row r="64" spans="2:30" ht="15.75" customHeight="1" thickBot="1">
      <c r="F64" s="62" t="s">
        <v>29</v>
      </c>
      <c r="G64" s="51">
        <f t="shared" si="7"/>
        <v>60</v>
      </c>
      <c r="H64" s="39">
        <f t="shared" si="7"/>
        <v>0</v>
      </c>
      <c r="I64" s="39">
        <f t="shared" si="7"/>
        <v>0</v>
      </c>
      <c r="J64" s="40">
        <f t="shared" si="7"/>
        <v>0</v>
      </c>
      <c r="L64" s="51">
        <f t="shared" si="6"/>
        <v>60</v>
      </c>
      <c r="M64" s="40">
        <f t="shared" si="6"/>
        <v>0</v>
      </c>
      <c r="P64" s="70" t="s">
        <v>40</v>
      </c>
      <c r="Q64" s="71">
        <f>SUM(G62:H64)/SUM(G62:J64)</f>
        <v>1</v>
      </c>
    </row>
    <row r="65" spans="6:17" ht="15.75" customHeight="1">
      <c r="G65" s="7">
        <f>SUM(G62:G64)</f>
        <v>100</v>
      </c>
      <c r="H65" s="7">
        <f>SUM(H62:H64)</f>
        <v>50</v>
      </c>
      <c r="I65" s="7">
        <f>SUM(I62:I64)</f>
        <v>0</v>
      </c>
      <c r="J65" s="7">
        <f>SUM(J62:J64)</f>
        <v>0</v>
      </c>
      <c r="K65" s="7"/>
      <c r="L65" s="7">
        <f>SUM(L62:L64)</f>
        <v>100</v>
      </c>
      <c r="M65" s="7">
        <f>SUM(M62:M64)</f>
        <v>50</v>
      </c>
    </row>
    <row r="69" spans="6:17" ht="15.75" customHeight="1" thickBot="1">
      <c r="G69" s="64" t="s">
        <v>57</v>
      </c>
    </row>
    <row r="70" spans="6:17" ht="15.75" customHeight="1" thickBot="1">
      <c r="G70" s="105" t="s">
        <v>35</v>
      </c>
      <c r="H70" s="106"/>
      <c r="I70" s="106"/>
      <c r="J70" s="107"/>
      <c r="L70" s="108" t="s">
        <v>2</v>
      </c>
      <c r="M70" s="109"/>
      <c r="P70" s="65" t="s">
        <v>36</v>
      </c>
      <c r="Q70" s="66">
        <f>SUM(G72:G74)/SUM(G72:G74,J72:J74)</f>
        <v>0.9850746268656716</v>
      </c>
    </row>
    <row r="71" spans="6:17" ht="15.75" customHeight="1" thickBot="1">
      <c r="G71" s="59" t="s">
        <v>13</v>
      </c>
      <c r="H71" s="60" t="s">
        <v>14</v>
      </c>
      <c r="I71" s="60" t="s">
        <v>15</v>
      </c>
      <c r="J71" s="61" t="s">
        <v>16</v>
      </c>
      <c r="L71" s="59" t="s">
        <v>13</v>
      </c>
      <c r="M71" s="61" t="s">
        <v>14</v>
      </c>
      <c r="P71" s="67" t="s">
        <v>37</v>
      </c>
      <c r="Q71" s="68">
        <f>SUM(H72:H74)/SUM(H72:I74)</f>
        <v>1</v>
      </c>
    </row>
    <row r="72" spans="6:17" ht="15.75" customHeight="1">
      <c r="F72" s="62" t="s">
        <v>25</v>
      </c>
      <c r="G72" s="20">
        <f t="shared" ref="G72:J74" si="8">SUM(G6,G9,G12,G28,G31,G34,G50,G53,G56)</f>
        <v>0</v>
      </c>
      <c r="H72" s="21">
        <f t="shared" si="8"/>
        <v>90</v>
      </c>
      <c r="I72" s="21">
        <f t="shared" si="8"/>
        <v>0</v>
      </c>
      <c r="J72" s="19">
        <f t="shared" si="8"/>
        <v>0</v>
      </c>
      <c r="L72" s="20">
        <f t="shared" ref="L72:M74" si="9">SUM(L6,L9,L12,L28,L31,L34,L50,L53,L56)</f>
        <v>0</v>
      </c>
      <c r="M72" s="19">
        <f t="shared" si="9"/>
        <v>90</v>
      </c>
      <c r="P72" s="67" t="s">
        <v>38</v>
      </c>
      <c r="Q72" s="68">
        <f>1-Q70</f>
        <v>1.4925373134328401E-2</v>
      </c>
    </row>
    <row r="73" spans="6:17" ht="15.75" customHeight="1">
      <c r="F73" s="62" t="s">
        <v>27</v>
      </c>
      <c r="G73" s="32">
        <f t="shared" si="8"/>
        <v>99</v>
      </c>
      <c r="H73" s="30">
        <f t="shared" si="8"/>
        <v>77</v>
      </c>
      <c r="I73" s="30">
        <f t="shared" si="8"/>
        <v>0</v>
      </c>
      <c r="J73" s="31">
        <f t="shared" si="8"/>
        <v>4</v>
      </c>
      <c r="L73" s="32">
        <f t="shared" si="9"/>
        <v>103</v>
      </c>
      <c r="M73" s="31">
        <f t="shared" si="9"/>
        <v>77</v>
      </c>
      <c r="P73" s="67" t="s">
        <v>39</v>
      </c>
      <c r="Q73" s="69">
        <f>1-Q71</f>
        <v>0</v>
      </c>
    </row>
    <row r="74" spans="6:17" ht="15.75" customHeight="1" thickBot="1">
      <c r="F74" s="62" t="s">
        <v>29</v>
      </c>
      <c r="G74" s="51">
        <f t="shared" si="8"/>
        <v>165</v>
      </c>
      <c r="H74" s="39">
        <f t="shared" si="8"/>
        <v>15</v>
      </c>
      <c r="I74" s="39">
        <f t="shared" si="8"/>
        <v>0</v>
      </c>
      <c r="J74" s="40">
        <f t="shared" si="8"/>
        <v>0</v>
      </c>
      <c r="L74" s="51">
        <f t="shared" si="9"/>
        <v>165</v>
      </c>
      <c r="M74" s="40">
        <f t="shared" si="9"/>
        <v>15</v>
      </c>
      <c r="P74" s="70" t="s">
        <v>40</v>
      </c>
      <c r="Q74" s="71">
        <f>SUM(G72:H74)/SUM(G72:J74)</f>
        <v>0.99111111111111116</v>
      </c>
    </row>
    <row r="75" spans="6:17" ht="15.75" customHeight="1">
      <c r="G75" s="7">
        <f>SUM(G72:G74)</f>
        <v>264</v>
      </c>
      <c r="H75" s="7">
        <f>SUM(H72:H74)</f>
        <v>182</v>
      </c>
      <c r="I75" s="7">
        <f>SUM(I72:I74)</f>
        <v>0</v>
      </c>
      <c r="J75" s="7">
        <f>SUM(J72:J74)</f>
        <v>4</v>
      </c>
      <c r="K75" s="7"/>
      <c r="L75" s="7">
        <f>SUM(L72:L74)</f>
        <v>268</v>
      </c>
      <c r="M75" s="7">
        <f>SUM(M72:M74)</f>
        <v>182</v>
      </c>
    </row>
  </sheetData>
  <mergeCells count="50">
    <mergeCell ref="G60:J60"/>
    <mergeCell ref="L60:M60"/>
    <mergeCell ref="G70:J70"/>
    <mergeCell ref="L70:M70"/>
    <mergeCell ref="V48:X48"/>
    <mergeCell ref="Y48:AA48"/>
    <mergeCell ref="AB48:AB49"/>
    <mergeCell ref="B50:B58"/>
    <mergeCell ref="C50:C52"/>
    <mergeCell ref="D50:D52"/>
    <mergeCell ref="C53:C55"/>
    <mergeCell ref="D53:D55"/>
    <mergeCell ref="C56:C58"/>
    <mergeCell ref="D56:D58"/>
    <mergeCell ref="S48:U48"/>
    <mergeCell ref="G38:J38"/>
    <mergeCell ref="L38:M38"/>
    <mergeCell ref="G48:J48"/>
    <mergeCell ref="L48:M48"/>
    <mergeCell ref="P48:R48"/>
    <mergeCell ref="V26:X26"/>
    <mergeCell ref="Y26:AA26"/>
    <mergeCell ref="AB26:AB27"/>
    <mergeCell ref="B28:B36"/>
    <mergeCell ref="C28:C30"/>
    <mergeCell ref="D28:D30"/>
    <mergeCell ref="C31:C33"/>
    <mergeCell ref="D31:D33"/>
    <mergeCell ref="C34:C36"/>
    <mergeCell ref="D34:D36"/>
    <mergeCell ref="S26:U26"/>
    <mergeCell ref="G16:J16"/>
    <mergeCell ref="L16:M16"/>
    <mergeCell ref="G26:J26"/>
    <mergeCell ref="L26:M26"/>
    <mergeCell ref="P26:R26"/>
    <mergeCell ref="AB4:AB5"/>
    <mergeCell ref="B6:B14"/>
    <mergeCell ref="C6:C8"/>
    <mergeCell ref="D6:D8"/>
    <mergeCell ref="C9:C11"/>
    <mergeCell ref="D9:D11"/>
    <mergeCell ref="C12:C14"/>
    <mergeCell ref="D12:D14"/>
    <mergeCell ref="G4:J4"/>
    <mergeCell ref="L4:M4"/>
    <mergeCell ref="P4:R4"/>
    <mergeCell ref="S4:U4"/>
    <mergeCell ref="V4:X4"/>
    <mergeCell ref="Y4:AA4"/>
  </mergeCells>
  <conditionalFormatting sqref="E7:J8 E10:J11 E14:E24">
    <cfRule type="expression" dxfId="75" priority="9" stopIfTrue="1">
      <formula>#REF!="Fail"</formula>
    </cfRule>
  </conditionalFormatting>
  <conditionalFormatting sqref="E29:J30 E32:J33 E36:E46">
    <cfRule type="expression" dxfId="74" priority="13" stopIfTrue="1">
      <formula>#REF!="Fail"</formula>
    </cfRule>
  </conditionalFormatting>
  <conditionalFormatting sqref="E51:J52 E54:J55 E58">
    <cfRule type="expression" dxfId="73" priority="17" stopIfTrue="1">
      <formula>#REF!="Fail"</formula>
    </cfRule>
  </conditionalFormatting>
  <conditionalFormatting sqref="F6:J6">
    <cfRule type="expression" dxfId="72" priority="8" stopIfTrue="1">
      <formula>#REF!="Fail"</formula>
    </cfRule>
  </conditionalFormatting>
  <conditionalFormatting sqref="F9:J9">
    <cfRule type="expression" dxfId="71" priority="7" stopIfTrue="1">
      <formula>#REF!="Fail"</formula>
    </cfRule>
  </conditionalFormatting>
  <conditionalFormatting sqref="F12:J15">
    <cfRule type="expression" dxfId="70" priority="6" stopIfTrue="1">
      <formula>#REF!="Fail"</formula>
    </cfRule>
  </conditionalFormatting>
  <conditionalFormatting sqref="F28:J28">
    <cfRule type="expression" dxfId="69" priority="12" stopIfTrue="1">
      <formula>#REF!="Fail"</formula>
    </cfRule>
  </conditionalFormatting>
  <conditionalFormatting sqref="F31:J31">
    <cfRule type="expression" dxfId="68" priority="11" stopIfTrue="1">
      <formula>#REF!="Fail"</formula>
    </cfRule>
  </conditionalFormatting>
  <conditionalFormatting sqref="F34:J37">
    <cfRule type="expression" dxfId="67" priority="10" stopIfTrue="1">
      <formula>#REF!="Fail"</formula>
    </cfRule>
  </conditionalFormatting>
  <conditionalFormatting sqref="F50:J50">
    <cfRule type="expression" dxfId="66" priority="16" stopIfTrue="1">
      <formula>#REF!="Fail"</formula>
    </cfRule>
  </conditionalFormatting>
  <conditionalFormatting sqref="F53:J53">
    <cfRule type="expression" dxfId="65" priority="15" stopIfTrue="1">
      <formula>#REF!="Fail"</formula>
    </cfRule>
  </conditionalFormatting>
  <conditionalFormatting sqref="F56:J58">
    <cfRule type="expression" dxfId="64" priority="14" stopIfTrue="1">
      <formula>#REF!="Fail"</formula>
    </cfRule>
  </conditionalFormatting>
  <conditionalFormatting sqref="F62:J64">
    <cfRule type="expression" dxfId="63" priority="1" stopIfTrue="1">
      <formula>#REF!="Fail"</formula>
    </cfRule>
  </conditionalFormatting>
  <conditionalFormatting sqref="G18:J20">
    <cfRule type="expression" dxfId="62" priority="4" stopIfTrue="1">
      <formula>#REF!="Fail"</formula>
    </cfRule>
  </conditionalFormatting>
  <conditionalFormatting sqref="G40:J42">
    <cfRule type="expression" dxfId="61" priority="3" stopIfTrue="1">
      <formula>#REF!="Fail"</formula>
    </cfRule>
  </conditionalFormatting>
  <conditionalFormatting sqref="G72:J74">
    <cfRule type="expression" dxfId="60" priority="5" stopIfTrue="1">
      <formula>#REF!="Fail"</formula>
    </cfRule>
  </conditionalFormatting>
  <conditionalFormatting sqref="L6:M15 F16:F24 L18:M20 L28:M37 F38:F46 L40:M42 L50:M58 L72:M74">
    <cfRule type="expression" dxfId="59" priority="18" stopIfTrue="1">
      <formula>#REF!="Fail"</formula>
    </cfRule>
  </conditionalFormatting>
  <conditionalFormatting sqref="L62:M64">
    <cfRule type="expression" dxfId="58" priority="2" stopIfTrue="1">
      <formula>#REF!="Fail"</formula>
    </cfRule>
  </conditionalFormatting>
  <pageMargins left="0.78740157499999996" right="0.78740157499999996" top="0.984251969" bottom="0.984251969" header="0.4921259845" footer="0.4921259845"/>
  <pageSetup orientation="portrait" r:id="rId1"/>
  <headerFooter alignWithMargins="0">
    <oddHeader>&amp;R&amp;"Calibri"&amp;12&amp;K000000 Unclassified / Non classifié&amp;1#_x000D_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5673F-417A-4F62-BC63-7716C007D8A8}">
  <dimension ref="B2:AD75"/>
  <sheetViews>
    <sheetView topLeftCell="B1" zoomScaleNormal="100" workbookViewId="0">
      <selection activeCell="AH73" sqref="AH73"/>
    </sheetView>
  </sheetViews>
  <sheetFormatPr defaultColWidth="11.42578125" defaultRowHeight="15.75" customHeight="1"/>
  <cols>
    <col min="1" max="1" width="13" style="1" customWidth="1"/>
    <col min="2" max="2" width="12.85546875" style="1" customWidth="1"/>
    <col min="3" max="3" width="15.7109375" style="1" customWidth="1"/>
    <col min="4" max="4" width="13.5703125" style="2" customWidth="1"/>
    <col min="5" max="5" width="16" style="1" customWidth="1"/>
    <col min="6" max="10" width="11.42578125" style="1"/>
    <col min="11" max="11" width="4" style="1" customWidth="1"/>
    <col min="12" max="13" width="11.42578125" style="1"/>
    <col min="14" max="14" width="4" style="1" bestFit="1" customWidth="1"/>
    <col min="15" max="15" width="3.42578125" style="1" customWidth="1"/>
    <col min="16" max="27" width="11.42578125" style="1"/>
    <col min="28" max="28" width="11.42578125" style="3"/>
    <col min="29" max="16384" width="11.42578125" style="1"/>
  </cols>
  <sheetData>
    <row r="2" spans="2:30" ht="24">
      <c r="B2" s="72" t="s">
        <v>0</v>
      </c>
    </row>
    <row r="3" spans="2:30" ht="15.75" customHeight="1" thickBot="1"/>
    <row r="4" spans="2:30" ht="15.75" customHeight="1" thickBot="1">
      <c r="B4" s="4"/>
      <c r="C4" s="4"/>
      <c r="D4" s="4"/>
      <c r="E4" s="4"/>
      <c r="F4" s="4"/>
      <c r="G4" s="96" t="s">
        <v>1</v>
      </c>
      <c r="H4" s="97"/>
      <c r="I4" s="97"/>
      <c r="J4" s="98"/>
      <c r="K4" s="6"/>
      <c r="L4" s="96" t="s">
        <v>2</v>
      </c>
      <c r="M4" s="99"/>
      <c r="N4" s="7"/>
      <c r="O4" s="7"/>
      <c r="P4" s="100" t="s">
        <v>3</v>
      </c>
      <c r="Q4" s="101"/>
      <c r="R4" s="102"/>
      <c r="S4" s="103" t="s">
        <v>4</v>
      </c>
      <c r="T4" s="101"/>
      <c r="U4" s="104"/>
      <c r="V4" s="100" t="s">
        <v>5</v>
      </c>
      <c r="W4" s="101"/>
      <c r="X4" s="102"/>
      <c r="Y4" s="103" t="s">
        <v>6</v>
      </c>
      <c r="Z4" s="101"/>
      <c r="AA4" s="104"/>
      <c r="AB4" s="80" t="s">
        <v>7</v>
      </c>
      <c r="AC4" s="7"/>
      <c r="AD4" s="7"/>
    </row>
    <row r="5" spans="2:30" ht="15.75" customHeight="1" thickBot="1">
      <c r="B5" s="5" t="s">
        <v>8</v>
      </c>
      <c r="C5" s="8" t="s">
        <v>9</v>
      </c>
      <c r="D5" s="9" t="s">
        <v>10</v>
      </c>
      <c r="E5" s="9" t="s">
        <v>11</v>
      </c>
      <c r="F5" s="10" t="s">
        <v>12</v>
      </c>
      <c r="G5" s="8" t="s">
        <v>13</v>
      </c>
      <c r="H5" s="9" t="s">
        <v>14</v>
      </c>
      <c r="I5" s="9" t="s">
        <v>15</v>
      </c>
      <c r="J5" s="11" t="s">
        <v>16</v>
      </c>
      <c r="L5" s="8" t="s">
        <v>13</v>
      </c>
      <c r="M5" s="11" t="s">
        <v>14</v>
      </c>
      <c r="N5" s="12"/>
      <c r="O5" s="12"/>
      <c r="P5" s="13" t="s">
        <v>17</v>
      </c>
      <c r="Q5" s="14" t="s">
        <v>18</v>
      </c>
      <c r="R5" s="15" t="s">
        <v>19</v>
      </c>
      <c r="S5" s="16" t="s">
        <v>17</v>
      </c>
      <c r="T5" s="14" t="s">
        <v>18</v>
      </c>
      <c r="U5" s="17" t="s">
        <v>19</v>
      </c>
      <c r="V5" s="13" t="s">
        <v>17</v>
      </c>
      <c r="W5" s="14" t="s">
        <v>18</v>
      </c>
      <c r="X5" s="15" t="s">
        <v>19</v>
      </c>
      <c r="Y5" s="16" t="s">
        <v>20</v>
      </c>
      <c r="Z5" s="14" t="s">
        <v>18</v>
      </c>
      <c r="AA5" s="17" t="s">
        <v>19</v>
      </c>
      <c r="AB5" s="81"/>
      <c r="AC5" s="12"/>
      <c r="AD5" s="12"/>
    </row>
    <row r="6" spans="2:30" ht="15.75" customHeight="1">
      <c r="B6" s="82" t="s">
        <v>21</v>
      </c>
      <c r="C6" s="86" t="s">
        <v>22</v>
      </c>
      <c r="D6" s="89" t="s">
        <v>23</v>
      </c>
      <c r="E6" s="18" t="s">
        <v>24</v>
      </c>
      <c r="F6" s="19" t="s">
        <v>25</v>
      </c>
      <c r="G6" s="20">
        <v>0</v>
      </c>
      <c r="H6" s="21">
        <v>10</v>
      </c>
      <c r="I6" s="21">
        <v>0</v>
      </c>
      <c r="J6" s="19">
        <v>0</v>
      </c>
      <c r="L6" s="22">
        <v>0</v>
      </c>
      <c r="M6" s="23">
        <v>10</v>
      </c>
      <c r="N6" s="7"/>
      <c r="O6" s="7"/>
      <c r="P6" s="24" t="s">
        <v>26</v>
      </c>
      <c r="Q6" s="25" t="s">
        <v>26</v>
      </c>
      <c r="R6" s="26" t="s">
        <v>26</v>
      </c>
      <c r="S6" s="27" t="s">
        <v>26</v>
      </c>
      <c r="T6" s="25" t="s">
        <v>26</v>
      </c>
      <c r="U6" s="26" t="s">
        <v>26</v>
      </c>
      <c r="V6" s="27" t="s">
        <v>26</v>
      </c>
      <c r="W6" s="25" t="s">
        <v>26</v>
      </c>
      <c r="X6" s="28" t="s">
        <v>26</v>
      </c>
      <c r="Y6" s="27" t="s">
        <v>26</v>
      </c>
      <c r="Z6" s="25" t="s">
        <v>26</v>
      </c>
      <c r="AA6" s="26" t="s">
        <v>26</v>
      </c>
      <c r="AB6" s="29" t="s">
        <v>24</v>
      </c>
      <c r="AC6" s="7"/>
      <c r="AD6" s="7"/>
    </row>
    <row r="7" spans="2:30" ht="15.75" customHeight="1">
      <c r="B7" s="83"/>
      <c r="C7" s="87"/>
      <c r="D7" s="90"/>
      <c r="E7" s="30" t="s">
        <v>24</v>
      </c>
      <c r="F7" s="31" t="s">
        <v>27</v>
      </c>
      <c r="G7" s="32">
        <v>10</v>
      </c>
      <c r="H7" s="30">
        <v>10</v>
      </c>
      <c r="I7" s="30">
        <v>0</v>
      </c>
      <c r="J7" s="31">
        <v>0</v>
      </c>
      <c r="L7" s="32">
        <v>10</v>
      </c>
      <c r="M7" s="31">
        <v>10</v>
      </c>
      <c r="N7" s="7"/>
      <c r="O7" s="7"/>
      <c r="P7" s="33">
        <f>SUM(G7,I7)/SUM(G7:J7)</f>
        <v>0.5</v>
      </c>
      <c r="Q7" s="34">
        <f>((SUM(G7,I7)+1.3613)-(1.65*SQRT(SUM(G7,I7)-(SUM(G7,I7)^2/SUM(G7:J7))+0.6806)))/(SUM(G7:J7)+2.7225)</f>
        <v>0.32693094787634341</v>
      </c>
      <c r="R7" s="35">
        <f>((SUM(G7,I7)+1.3613)+(1.65*SQRT(SUM(G7,I7)-(SUM(G7,I7)^2/SUM(G7:J7))+0.6806)))/(SUM(G7:J7)+2.7225)</f>
        <v>0.6730734530478506</v>
      </c>
      <c r="S7" s="33">
        <f>G7/SUM(G7:J7)</f>
        <v>0.5</v>
      </c>
      <c r="T7" s="34">
        <f>((G7+1.3613)-(1.65*SQRT(G7-(G7^2/SUM(G7:J7))+0.6806)))/(SUM(G7:J7)+2.7225)</f>
        <v>0.32693094787634341</v>
      </c>
      <c r="U7" s="35">
        <f>((G7+1.3613)+(1.65*SQRT(G7-(G7^2/SUM(G7:J7))+0.6806)))/(SUM(G7:J7)+2.7225)</f>
        <v>0.6730734530478506</v>
      </c>
      <c r="V7" s="33">
        <f>L7/SUM(L7:M7)</f>
        <v>0.5</v>
      </c>
      <c r="W7" s="34">
        <f>((L7+1.3613)-(1.65*SQRT(L7-(L7^2/SUM(L7:M7))+0.6806)))/(SUM(L7:M7)+2.7225)</f>
        <v>0.32693094787634341</v>
      </c>
      <c r="X7" s="36">
        <f>((L7+1.3613)+(1.65*SQRT(L7-(L7^2/SUM(L7:M7))+0.6806)))/(SUM(L7:M7)+2.7225)</f>
        <v>0.6730734530478506</v>
      </c>
      <c r="Y7" s="33">
        <f>S7-V7</f>
        <v>0</v>
      </c>
      <c r="Z7" s="34">
        <f>Y7-SQRT((S7-T7)^2+(V7-X7)^2)</f>
        <v>-0.24475971268345514</v>
      </c>
      <c r="AA7" s="35">
        <f>Y7+SQRT((S7-U7)^2+(V7-W7)^2)</f>
        <v>0.24475971268345514</v>
      </c>
      <c r="AB7" s="37" t="s">
        <v>28</v>
      </c>
      <c r="AC7" s="38"/>
      <c r="AD7" s="7"/>
    </row>
    <row r="8" spans="2:30" ht="15.75" customHeight="1" thickBot="1">
      <c r="B8" s="83"/>
      <c r="C8" s="88"/>
      <c r="D8" s="91"/>
      <c r="E8" s="39" t="s">
        <v>24</v>
      </c>
      <c r="F8" s="40" t="s">
        <v>29</v>
      </c>
      <c r="G8" s="32">
        <v>14</v>
      </c>
      <c r="H8" s="30">
        <v>6</v>
      </c>
      <c r="I8" s="30">
        <v>0</v>
      </c>
      <c r="J8" s="31">
        <v>0</v>
      </c>
      <c r="L8" s="32">
        <v>14</v>
      </c>
      <c r="M8" s="31">
        <v>6</v>
      </c>
      <c r="N8" s="7"/>
      <c r="O8" s="7"/>
      <c r="P8" s="33">
        <f>SUM(G8,I8)/SUM(G8:J8)</f>
        <v>0.7</v>
      </c>
      <c r="Q8" s="34">
        <f>((SUM(G8,I8)+1.3613)-(1.65*SQRT(SUM(G8,I8)-(SUM(G8,I8)^2/SUM(G8:J8))+0.6806)))/(SUM(G8:J8)+2.7225)</f>
        <v>0.51561697855622868</v>
      </c>
      <c r="R8" s="35">
        <f>((SUM(G8,I8)+1.3613)+(1.65*SQRT(SUM(G8,I8)-(SUM(G8,I8)^2/SUM(G8:J8))+0.6806)))/(SUM(G8:J8)+2.7225)</f>
        <v>0.83646135789442599</v>
      </c>
      <c r="S8" s="33">
        <f>G8/SUM(G8:J8)</f>
        <v>0.7</v>
      </c>
      <c r="T8" s="34">
        <f>((G8+1.3613)-(1.65*SQRT(G8-(G8^2/SUM(G8:J8))+0.6806)))/(SUM(G8:J8)+2.7225)</f>
        <v>0.51561697855622868</v>
      </c>
      <c r="U8" s="35">
        <f>((G8+1.3613)+(1.65*SQRT(G8-(G8^2/SUM(G8:J8))+0.6806)))/(SUM(G8:J8)+2.7225)</f>
        <v>0.83646135789442599</v>
      </c>
      <c r="V8" s="33">
        <f>L8/SUM(L8:M8)</f>
        <v>0.7</v>
      </c>
      <c r="W8" s="34">
        <f>((L8+1.3613)-(1.65*SQRT(L8-(L8^2/SUM(L8:M8))+0.6806)))/(SUM(L8:M8)+2.7225)</f>
        <v>0.51561697855622868</v>
      </c>
      <c r="X8" s="36">
        <f>((L8+1.3613)+(1.65*SQRT(L8-(L8^2/SUM(L8:M8))+0.6806)))/(SUM(L8:M8)+2.7225)</f>
        <v>0.83646135789442599</v>
      </c>
      <c r="Y8" s="33">
        <f>S8-V8</f>
        <v>0</v>
      </c>
      <c r="Z8" s="34">
        <f>Y8-SQRT((S8-T8)^2+(V8-X8)^2)</f>
        <v>-0.2293878828428495</v>
      </c>
      <c r="AA8" s="35">
        <f>Y8+SQRT((S8-U8)^2+(V8-W8)^2)</f>
        <v>0.2293878828428495</v>
      </c>
      <c r="AB8" s="37" t="s">
        <v>28</v>
      </c>
      <c r="AC8" s="7"/>
      <c r="AD8" s="7"/>
    </row>
    <row r="9" spans="2:30" ht="15.75" customHeight="1">
      <c r="B9" s="83"/>
      <c r="C9" s="92" t="s">
        <v>30</v>
      </c>
      <c r="D9" s="93" t="s">
        <v>31</v>
      </c>
      <c r="E9" s="41" t="s">
        <v>24</v>
      </c>
      <c r="F9" s="23" t="s">
        <v>25</v>
      </c>
      <c r="G9" s="22">
        <v>0</v>
      </c>
      <c r="H9" s="42">
        <v>10</v>
      </c>
      <c r="I9" s="42">
        <v>0</v>
      </c>
      <c r="J9" s="23">
        <v>0</v>
      </c>
      <c r="L9" s="22">
        <v>0</v>
      </c>
      <c r="M9" s="23">
        <v>10</v>
      </c>
      <c r="N9" s="7"/>
      <c r="O9" s="7"/>
      <c r="P9" s="33" t="s">
        <v>26</v>
      </c>
      <c r="Q9" s="34" t="s">
        <v>26</v>
      </c>
      <c r="R9" s="35" t="s">
        <v>26</v>
      </c>
      <c r="S9" s="33" t="s">
        <v>26</v>
      </c>
      <c r="T9" s="34" t="s">
        <v>26</v>
      </c>
      <c r="U9" s="35" t="s">
        <v>26</v>
      </c>
      <c r="V9" s="33" t="s">
        <v>26</v>
      </c>
      <c r="W9" s="34" t="s">
        <v>26</v>
      </c>
      <c r="X9" s="36" t="s">
        <v>26</v>
      </c>
      <c r="Y9" s="33" t="s">
        <v>26</v>
      </c>
      <c r="Z9" s="34" t="s">
        <v>26</v>
      </c>
      <c r="AA9" s="35" t="s">
        <v>26</v>
      </c>
      <c r="AB9" s="37" t="s">
        <v>24</v>
      </c>
      <c r="AC9" s="7"/>
      <c r="AD9" s="7"/>
    </row>
    <row r="10" spans="2:30" ht="15.75" customHeight="1">
      <c r="B10" s="83"/>
      <c r="C10" s="87"/>
      <c r="D10" s="90"/>
      <c r="E10" s="30" t="s">
        <v>24</v>
      </c>
      <c r="F10" s="31" t="s">
        <v>27</v>
      </c>
      <c r="G10" s="32">
        <v>7</v>
      </c>
      <c r="H10" s="30">
        <v>12</v>
      </c>
      <c r="I10" s="30">
        <v>0</v>
      </c>
      <c r="J10" s="73">
        <v>1</v>
      </c>
      <c r="L10" s="32">
        <v>8</v>
      </c>
      <c r="M10" s="31">
        <v>12</v>
      </c>
      <c r="N10" s="7"/>
      <c r="O10" s="7"/>
      <c r="P10" s="33">
        <f>SUM(G10,I10)/SUM(G10:J10)</f>
        <v>0.35</v>
      </c>
      <c r="Q10" s="34">
        <f>((SUM(G10,I10)+1.3613)-(1.65*SQRT(SUM(G10,I10)-(SUM(G10,I10)^2/SUM(G10:J10))+0.6806)))/(SUM(G10:J10)+2.7225)</f>
        <v>0.20189973247796225</v>
      </c>
      <c r="R10" s="35">
        <f>((SUM(G10,I10)+1.3613)+(1.65*SQRT(SUM(G10,I10)-(SUM(G10,I10)^2/SUM(G10:J10))+0.6806)))/(SUM(G10:J10)+2.7225)</f>
        <v>0.53404921680138639</v>
      </c>
      <c r="S10" s="33">
        <f>G10/SUM(G10:J10)</f>
        <v>0.35</v>
      </c>
      <c r="T10" s="34">
        <f>((G10+1.3613)-(1.65*SQRT(G10-(G10^2/SUM(G10:J10))+0.6806)))/(SUM(G10:J10)+2.7225)</f>
        <v>0.20189973247796225</v>
      </c>
      <c r="U10" s="35">
        <f>((G10+1.3613)+(1.65*SQRT(G10-(G10^2/SUM(G10:J10))+0.6806)))/(SUM(G10:J10)+2.7225)</f>
        <v>0.53404921680138639</v>
      </c>
      <c r="V10" s="33">
        <f>L10/SUM(L10:M10)</f>
        <v>0.4</v>
      </c>
      <c r="W10" s="34">
        <f>((L10+1.3613)-(1.65*SQRT(L10-(L10^2/SUM(L10:M10))+0.6806)))/(SUM(L10:M10)+2.7225)</f>
        <v>0.24198647075497337</v>
      </c>
      <c r="X10" s="36">
        <f>((L10+1.3613)+(1.65*SQRT(L10-(L10^2/SUM(L10:M10))+0.6806)))/(SUM(L10:M10)+2.7225)</f>
        <v>0.5819809624059904</v>
      </c>
      <c r="Y10" s="33">
        <f>S10-V10</f>
        <v>-5.0000000000000044E-2</v>
      </c>
      <c r="Z10" s="34">
        <f>Y10-SQRT((S10-T10)^2+(V10-X10)^2)</f>
        <v>-0.28462898354276189</v>
      </c>
      <c r="AA10" s="35">
        <f>Y10+SQRT((S10-U10)^2+(V10-W10)^2)</f>
        <v>0.19257450325554129</v>
      </c>
      <c r="AB10" s="37" t="s">
        <v>28</v>
      </c>
      <c r="AC10" s="7"/>
      <c r="AD10" s="7"/>
    </row>
    <row r="11" spans="2:30" ht="15.75" customHeight="1" thickBot="1">
      <c r="B11" s="83"/>
      <c r="C11" s="88"/>
      <c r="D11" s="91"/>
      <c r="E11" s="39" t="s">
        <v>24</v>
      </c>
      <c r="F11" s="40" t="s">
        <v>29</v>
      </c>
      <c r="G11" s="32">
        <v>20</v>
      </c>
      <c r="H11" s="30">
        <v>0</v>
      </c>
      <c r="I11" s="30">
        <v>0</v>
      </c>
      <c r="J11" s="31">
        <v>0</v>
      </c>
      <c r="L11" s="32">
        <v>20</v>
      </c>
      <c r="M11" s="31">
        <v>0</v>
      </c>
      <c r="N11" s="7"/>
      <c r="O11" s="7"/>
      <c r="P11" s="33">
        <f>SUM(G11,I11)/SUM(G11:J11)</f>
        <v>1</v>
      </c>
      <c r="Q11" s="34">
        <f>((SUM(G11,I11)+1.3613)-(1.65*SQRT(SUM(G11,I11)-(SUM(G11,I11)^2/SUM(G11:J11))+0.6806)))/(SUM(G11:J11)+2.7225)</f>
        <v>0.88018813951940023</v>
      </c>
      <c r="R11" s="35">
        <f>((SUM(G11,I11)+1.3613)+(1.65*SQRT(SUM(G11,I11)-(SUM(G11,I11)^2/SUM(G11:J11))+0.6806)))/(SUM(G11:J11)+2.7225)</f>
        <v>1.0000011002209452</v>
      </c>
      <c r="S11" s="33">
        <f>G11/SUM(G11:J11)</f>
        <v>1</v>
      </c>
      <c r="T11" s="34">
        <f>((G11+1.3613)-(1.65*SQRT(G11-(G11^2/SUM(G11:J11))+0.6806)))/(SUM(G11:J11)+2.7225)</f>
        <v>0.88018813951940023</v>
      </c>
      <c r="U11" s="35">
        <f>((G11+1.3613)+(1.65*SQRT(G11-(G11^2/SUM(G11:J11))+0.6806)))/(SUM(G11:J11)+2.7225)</f>
        <v>1.0000011002209452</v>
      </c>
      <c r="V11" s="33">
        <f>L11/SUM(L11:M11)</f>
        <v>1</v>
      </c>
      <c r="W11" s="34">
        <f>((L11+1.3613)-(1.65*SQRT(L11-(L11^2/SUM(L11:M11))+0.6806)))/(SUM(L11:M11)+2.7225)</f>
        <v>0.88018813951940023</v>
      </c>
      <c r="X11" s="36">
        <f>((L11+1.3613)+(1.65*SQRT(L11-(L11^2/SUM(L11:M11))+0.6806)))/(SUM(L11:M11)+2.7225)</f>
        <v>1.0000011002209452</v>
      </c>
      <c r="Y11" s="33">
        <f>S11-V11</f>
        <v>0</v>
      </c>
      <c r="Z11" s="34">
        <f>Y11-SQRT((S11-T11)^2+(V11-X11)^2)</f>
        <v>-0.11981186048565139</v>
      </c>
      <c r="AA11" s="35">
        <f>Y11+SQRT((S11-U11)^2+(V11-W11)^2)</f>
        <v>0.11981186048565139</v>
      </c>
      <c r="AB11" s="37" t="s">
        <v>28</v>
      </c>
      <c r="AC11" s="7"/>
      <c r="AD11" s="7"/>
    </row>
    <row r="12" spans="2:30" ht="15.75" customHeight="1">
      <c r="B12" s="83"/>
      <c r="C12" s="92" t="s">
        <v>32</v>
      </c>
      <c r="D12" s="93" t="s">
        <v>33</v>
      </c>
      <c r="E12" s="41" t="s">
        <v>34</v>
      </c>
      <c r="F12" s="23" t="s">
        <v>25</v>
      </c>
      <c r="G12" s="22">
        <v>0</v>
      </c>
      <c r="H12" s="42">
        <v>10</v>
      </c>
      <c r="I12" s="42">
        <v>0</v>
      </c>
      <c r="J12" s="23">
        <v>0</v>
      </c>
      <c r="L12" s="22">
        <v>0</v>
      </c>
      <c r="M12" s="23">
        <v>10</v>
      </c>
      <c r="N12" s="7"/>
      <c r="O12" s="7"/>
      <c r="P12" s="33" t="s">
        <v>26</v>
      </c>
      <c r="Q12" s="34" t="s">
        <v>26</v>
      </c>
      <c r="R12" s="35" t="s">
        <v>26</v>
      </c>
      <c r="S12" s="33" t="s">
        <v>26</v>
      </c>
      <c r="T12" s="34" t="s">
        <v>26</v>
      </c>
      <c r="U12" s="35" t="s">
        <v>26</v>
      </c>
      <c r="V12" s="33" t="s">
        <v>26</v>
      </c>
      <c r="W12" s="34" t="s">
        <v>26</v>
      </c>
      <c r="X12" s="36" t="s">
        <v>26</v>
      </c>
      <c r="Y12" s="33" t="s">
        <v>26</v>
      </c>
      <c r="Z12" s="34" t="s">
        <v>26</v>
      </c>
      <c r="AA12" s="35" t="s">
        <v>26</v>
      </c>
      <c r="AB12" s="37" t="s">
        <v>24</v>
      </c>
      <c r="AC12" s="7"/>
      <c r="AD12" s="7"/>
    </row>
    <row r="13" spans="2:30" ht="15.75" customHeight="1">
      <c r="B13" s="84"/>
      <c r="C13" s="94"/>
      <c r="D13" s="95"/>
      <c r="E13" s="43" t="s">
        <v>34</v>
      </c>
      <c r="F13" s="44" t="s">
        <v>27</v>
      </c>
      <c r="G13" s="45">
        <v>16</v>
      </c>
      <c r="H13" s="46">
        <v>4</v>
      </c>
      <c r="I13" s="46">
        <v>0</v>
      </c>
      <c r="J13" s="44">
        <v>0</v>
      </c>
      <c r="L13" s="45">
        <v>16</v>
      </c>
      <c r="M13" s="44">
        <v>4</v>
      </c>
      <c r="N13" s="7"/>
      <c r="O13" s="7"/>
      <c r="P13" s="47">
        <f>SUM(G13,I13)/SUM(G13:J13)</f>
        <v>0.8</v>
      </c>
      <c r="Q13" s="48">
        <f>((SUM(G13,I13)+1.3613)-(1.65*SQRT(SUM(G13,I13)-(SUM(G13,I13)^2/SUM(G13:J13))+0.6806)))/(SUM(G13:J13)+2.7225)</f>
        <v>0.62101114036509186</v>
      </c>
      <c r="R13" s="49">
        <f>((SUM(G13,I13)+1.3613)+(1.65*SQRT(SUM(G13,I13)-(SUM(G13,I13)^2/SUM(G13:J13))+0.6806)))/(SUM(G13:J13)+2.7225)</f>
        <v>0.907104163848793</v>
      </c>
      <c r="S13" s="47">
        <f>G13/SUM(G13:J13)</f>
        <v>0.8</v>
      </c>
      <c r="T13" s="48">
        <f>((G13+1.3613)-(1.65*SQRT(G13-(G13^2/SUM(G13:J13))+0.6806)))/(SUM(G13:J13)+2.7225)</f>
        <v>0.62101114036509186</v>
      </c>
      <c r="U13" s="49">
        <f>((G13+1.3613)+(1.65*SQRT(G13-(G13^2/SUM(G13:J13))+0.6806)))/(SUM(G13:J13)+2.7225)</f>
        <v>0.907104163848793</v>
      </c>
      <c r="V13" s="47">
        <f>L13/SUM(L13:M13)</f>
        <v>0.8</v>
      </c>
      <c r="W13" s="48">
        <f>((L13+1.3613)-(1.65*SQRT(L13-(L13^2/SUM(L13:M13))+0.6806)))/(SUM(L13:M13)+2.7225)</f>
        <v>0.62101114036509186</v>
      </c>
      <c r="X13" s="50">
        <f>((L13+1.3613)+(1.65*SQRT(L13-(L13^2/SUM(L13:M13))+0.6806)))/(SUM(L13:M13)+2.7225)</f>
        <v>0.907104163848793</v>
      </c>
      <c r="Y13" s="47">
        <f>S13-V13</f>
        <v>0</v>
      </c>
      <c r="Z13" s="48">
        <f>Y13-SQRT((S13-T13)^2+(V13-X13)^2)</f>
        <v>-0.20858646597311617</v>
      </c>
      <c r="AA13" s="49">
        <f>Y13+SQRT((S13-U13)^2+(V13-W13)^2)</f>
        <v>0.20858646597311617</v>
      </c>
      <c r="AB13" s="37" t="s">
        <v>28</v>
      </c>
      <c r="AC13" s="7"/>
      <c r="AD13" s="7"/>
    </row>
    <row r="14" spans="2:30" ht="15.75" customHeight="1" thickBot="1">
      <c r="B14" s="85"/>
      <c r="C14" s="88"/>
      <c r="D14" s="91"/>
      <c r="E14" s="39" t="s">
        <v>34</v>
      </c>
      <c r="F14" s="40" t="s">
        <v>29</v>
      </c>
      <c r="G14" s="51">
        <v>20</v>
      </c>
      <c r="H14" s="39">
        <v>0</v>
      </c>
      <c r="I14" s="39">
        <v>0</v>
      </c>
      <c r="J14" s="40">
        <v>0</v>
      </c>
      <c r="L14" s="51">
        <v>20</v>
      </c>
      <c r="M14" s="40">
        <v>0</v>
      </c>
      <c r="N14" s="7"/>
      <c r="O14" s="7"/>
      <c r="P14" s="52">
        <f>SUM(G14,I14)/SUM(G14:J14)</f>
        <v>1</v>
      </c>
      <c r="Q14" s="53">
        <f>((SUM(G14,I14)+1.3613)-(1.65*SQRT(SUM(G14,I14)-(SUM(G14,I14)^2/SUM(G14:J14))+0.6806)))/(SUM(G14:J14)+2.7225)</f>
        <v>0.88018813951940023</v>
      </c>
      <c r="R14" s="54">
        <f>((SUM(G14,I14)+1.3613)+(1.65*SQRT(SUM(G14,I14)-(SUM(G14,I14)^2/SUM(G14:J14))+0.6806)))/(SUM(G14:J14)+2.7225)</f>
        <v>1.0000011002209452</v>
      </c>
      <c r="S14" s="52">
        <f>G14/SUM(G14:J14)</f>
        <v>1</v>
      </c>
      <c r="T14" s="53">
        <f>((G14+1.3613)-(1.65*SQRT(G14-(G14^2/SUM(G14:J14))+0.6806)))/(SUM(G14:J14)+2.7225)</f>
        <v>0.88018813951940023</v>
      </c>
      <c r="U14" s="54">
        <f>((G14+1.3613)+(1.65*SQRT(G14-(G14^2/SUM(G14:J14))+0.6806)))/(SUM(G14:J14)+2.7225)</f>
        <v>1.0000011002209452</v>
      </c>
      <c r="V14" s="52">
        <f>L14/SUM(L14:M14)</f>
        <v>1</v>
      </c>
      <c r="W14" s="53">
        <f>((L14+1.3613)-(1.65*SQRT(L14-(L14^2/SUM(L14:M14))+0.6806)))/(SUM(L14:M14)+2.7225)</f>
        <v>0.88018813951940023</v>
      </c>
      <c r="X14" s="55">
        <f>((L14+1.3613)+(1.65*SQRT(L14-(L14^2/SUM(L14:M14))+0.6806)))/(SUM(L14:M14)+2.7225)</f>
        <v>1.0000011002209452</v>
      </c>
      <c r="Y14" s="52">
        <f>S14-V14</f>
        <v>0</v>
      </c>
      <c r="Z14" s="53">
        <f>Y14-SQRT((S14-T14)^2+(V14-X14)^2)</f>
        <v>-0.11981186048565139</v>
      </c>
      <c r="AA14" s="54">
        <f>Y14+SQRT((S14-U14)^2+(V14-W14)^2)</f>
        <v>0.11981186048565139</v>
      </c>
      <c r="AB14" s="56" t="s">
        <v>28</v>
      </c>
      <c r="AC14" s="7"/>
      <c r="AD14" s="7"/>
    </row>
    <row r="15" spans="2:30" ht="15.75" customHeight="1" thickBot="1">
      <c r="B15" s="6"/>
      <c r="C15" s="6"/>
      <c r="D15" s="6"/>
      <c r="E15" s="7"/>
      <c r="F15" s="7"/>
      <c r="G15" s="7"/>
      <c r="H15" s="7"/>
      <c r="I15" s="7"/>
      <c r="J15" s="7"/>
      <c r="L15" s="7"/>
      <c r="M15" s="7"/>
      <c r="N15" s="7"/>
      <c r="O15" s="7"/>
      <c r="P15" s="57"/>
      <c r="Q15" s="57"/>
      <c r="R15" s="57"/>
      <c r="S15" s="57"/>
      <c r="T15" s="57"/>
      <c r="U15" s="57"/>
      <c r="V15" s="57"/>
      <c r="W15" s="57"/>
      <c r="X15" s="57"/>
      <c r="Y15" s="57"/>
      <c r="Z15" s="57"/>
      <c r="AA15" s="57"/>
      <c r="AB15" s="58"/>
      <c r="AC15" s="7"/>
      <c r="AD15" s="7"/>
    </row>
    <row r="16" spans="2:30" ht="15.75" customHeight="1" thickBot="1">
      <c r="B16" s="6"/>
      <c r="C16" s="6"/>
      <c r="D16" s="6"/>
      <c r="E16" s="7"/>
      <c r="F16" s="7"/>
      <c r="G16" s="105" t="s">
        <v>35</v>
      </c>
      <c r="H16" s="106"/>
      <c r="I16" s="106"/>
      <c r="J16" s="107"/>
      <c r="L16" s="108" t="s">
        <v>2</v>
      </c>
      <c r="M16" s="109"/>
      <c r="N16" s="7"/>
      <c r="O16" s="7"/>
      <c r="P16" s="65" t="s">
        <v>36</v>
      </c>
      <c r="Q16" s="66">
        <f>SUM(G18:G20)/SUM(G18:G20,J18:J20)</f>
        <v>0.98863636363636365</v>
      </c>
      <c r="R16" s="57"/>
      <c r="S16" s="57"/>
      <c r="T16" s="57"/>
      <c r="U16" s="57"/>
      <c r="V16" s="57"/>
      <c r="W16" s="57"/>
      <c r="X16" s="57"/>
      <c r="Y16" s="57"/>
      <c r="Z16" s="57"/>
      <c r="AA16" s="57"/>
      <c r="AB16" s="58"/>
      <c r="AC16" s="7"/>
      <c r="AD16" s="7"/>
    </row>
    <row r="17" spans="2:30" ht="15.75" customHeight="1" thickBot="1">
      <c r="B17" s="6"/>
      <c r="C17" s="6"/>
      <c r="D17" s="6"/>
      <c r="E17" s="7"/>
      <c r="F17" s="7"/>
      <c r="G17" s="59" t="s">
        <v>13</v>
      </c>
      <c r="H17" s="60" t="s">
        <v>14</v>
      </c>
      <c r="I17" s="60" t="s">
        <v>15</v>
      </c>
      <c r="J17" s="61" t="s">
        <v>16</v>
      </c>
      <c r="L17" s="59" t="s">
        <v>13</v>
      </c>
      <c r="M17" s="61" t="s">
        <v>14</v>
      </c>
      <c r="N17" s="7"/>
      <c r="O17" s="7"/>
      <c r="P17" s="67" t="s">
        <v>37</v>
      </c>
      <c r="Q17" s="68">
        <f>SUM(H18:H20)/SUM(H18:I20)</f>
        <v>1</v>
      </c>
      <c r="R17" s="57"/>
      <c r="S17" s="57"/>
      <c r="T17" s="57"/>
      <c r="U17" s="57"/>
      <c r="V17" s="57"/>
      <c r="W17" s="57"/>
      <c r="X17" s="57"/>
      <c r="Y17" s="57"/>
      <c r="Z17" s="57"/>
      <c r="AA17" s="57"/>
      <c r="AB17" s="58"/>
      <c r="AC17" s="7"/>
      <c r="AD17" s="7"/>
    </row>
    <row r="18" spans="2:30" ht="15.75" customHeight="1">
      <c r="B18" s="6"/>
      <c r="C18" s="6"/>
      <c r="D18" s="6"/>
      <c r="E18" s="7"/>
      <c r="F18" s="62" t="s">
        <v>25</v>
      </c>
      <c r="G18" s="20">
        <f>SUM(G6,G9,G12)</f>
        <v>0</v>
      </c>
      <c r="H18" s="21">
        <f t="shared" ref="H18:M18" si="0">SUM(H6,H9,H12)</f>
        <v>30</v>
      </c>
      <c r="I18" s="21">
        <f t="shared" si="0"/>
        <v>0</v>
      </c>
      <c r="J18" s="19">
        <f t="shared" si="0"/>
        <v>0</v>
      </c>
      <c r="L18" s="20">
        <f t="shared" si="0"/>
        <v>0</v>
      </c>
      <c r="M18" s="19">
        <f t="shared" si="0"/>
        <v>30</v>
      </c>
      <c r="N18" s="7"/>
      <c r="O18" s="7"/>
      <c r="P18" s="67" t="s">
        <v>38</v>
      </c>
      <c r="Q18" s="68">
        <f>1-Q16</f>
        <v>1.1363636363636354E-2</v>
      </c>
      <c r="R18" s="63"/>
      <c r="S18" s="57"/>
      <c r="T18" s="57"/>
      <c r="U18" s="57"/>
      <c r="V18" s="57"/>
      <c r="W18" s="57"/>
      <c r="X18" s="57"/>
      <c r="Y18" s="57"/>
      <c r="Z18" s="57"/>
      <c r="AA18" s="57"/>
      <c r="AB18" s="58"/>
      <c r="AC18" s="7"/>
      <c r="AD18" s="7"/>
    </row>
    <row r="19" spans="2:30" ht="15.75" customHeight="1">
      <c r="B19" s="6"/>
      <c r="C19" s="6"/>
      <c r="D19" s="6"/>
      <c r="E19" s="7"/>
      <c r="F19" s="62" t="s">
        <v>27</v>
      </c>
      <c r="G19" s="32">
        <f t="shared" ref="G19:M19" si="1">SUM(G7,G10,G13)</f>
        <v>33</v>
      </c>
      <c r="H19" s="30">
        <f t="shared" si="1"/>
        <v>26</v>
      </c>
      <c r="I19" s="30">
        <f t="shared" si="1"/>
        <v>0</v>
      </c>
      <c r="J19" s="31">
        <f t="shared" si="1"/>
        <v>1</v>
      </c>
      <c r="L19" s="32">
        <f t="shared" si="1"/>
        <v>34</v>
      </c>
      <c r="M19" s="31">
        <f t="shared" si="1"/>
        <v>26</v>
      </c>
      <c r="N19" s="7"/>
      <c r="O19" s="7"/>
      <c r="P19" s="67" t="s">
        <v>39</v>
      </c>
      <c r="Q19" s="69">
        <f>1-Q17</f>
        <v>0</v>
      </c>
      <c r="R19" s="57"/>
      <c r="S19" s="57"/>
      <c r="T19" s="57"/>
      <c r="U19" s="57"/>
      <c r="V19" s="57"/>
      <c r="W19" s="57"/>
      <c r="X19" s="57"/>
      <c r="Y19" s="57"/>
      <c r="Z19" s="57"/>
      <c r="AA19" s="57"/>
      <c r="AB19" s="58"/>
      <c r="AC19" s="7"/>
      <c r="AD19" s="7"/>
    </row>
    <row r="20" spans="2:30" ht="15.75" customHeight="1" thickBot="1">
      <c r="B20" s="6"/>
      <c r="C20" s="6"/>
      <c r="D20" s="6"/>
      <c r="E20" s="7"/>
      <c r="F20" s="62" t="s">
        <v>29</v>
      </c>
      <c r="G20" s="51">
        <f t="shared" ref="G20:M20" si="2">SUM(G8,G11,G14)</f>
        <v>54</v>
      </c>
      <c r="H20" s="39">
        <f t="shared" si="2"/>
        <v>6</v>
      </c>
      <c r="I20" s="39">
        <f t="shared" si="2"/>
        <v>0</v>
      </c>
      <c r="J20" s="40">
        <f t="shared" si="2"/>
        <v>0</v>
      </c>
      <c r="L20" s="51">
        <f t="shared" si="2"/>
        <v>54</v>
      </c>
      <c r="M20" s="40">
        <f t="shared" si="2"/>
        <v>6</v>
      </c>
      <c r="N20" s="7"/>
      <c r="O20" s="7"/>
      <c r="P20" s="70" t="s">
        <v>40</v>
      </c>
      <c r="Q20" s="71">
        <f>SUM(G18:H20)/SUM(G18:J20)</f>
        <v>0.99333333333333329</v>
      </c>
      <c r="R20" s="57"/>
      <c r="S20" s="57"/>
      <c r="T20" s="57"/>
      <c r="U20" s="57"/>
      <c r="V20" s="57"/>
      <c r="W20" s="57"/>
      <c r="X20" s="57"/>
      <c r="Y20" s="57"/>
      <c r="Z20" s="57"/>
      <c r="AA20" s="57"/>
      <c r="AB20" s="58"/>
      <c r="AC20" s="7"/>
      <c r="AD20" s="7"/>
    </row>
    <row r="21" spans="2:30" ht="15.75" customHeight="1">
      <c r="B21" s="6"/>
      <c r="C21" s="6"/>
      <c r="D21" s="6"/>
      <c r="E21" s="7"/>
      <c r="F21" s="7"/>
      <c r="G21" s="7">
        <f>SUM(G18:G20)</f>
        <v>87</v>
      </c>
      <c r="H21" s="7">
        <f>SUM(H18:H20)</f>
        <v>62</v>
      </c>
      <c r="I21" s="7">
        <f>SUM(I18:I20)</f>
        <v>0</v>
      </c>
      <c r="J21" s="7">
        <f>SUM(J18:J20)</f>
        <v>1</v>
      </c>
      <c r="K21" s="7"/>
      <c r="L21" s="7">
        <f>SUM(L18:L20)</f>
        <v>88</v>
      </c>
      <c r="M21" s="7">
        <f>SUM(M18:M20)</f>
        <v>62</v>
      </c>
      <c r="N21" s="7"/>
      <c r="O21" s="7"/>
      <c r="P21" s="57"/>
      <c r="Q21" s="57"/>
      <c r="R21" s="57"/>
      <c r="S21" s="57"/>
      <c r="T21" s="57"/>
      <c r="U21" s="57"/>
      <c r="V21" s="57"/>
      <c r="W21" s="57"/>
      <c r="X21" s="57"/>
      <c r="Y21" s="57"/>
      <c r="Z21" s="57"/>
      <c r="AA21" s="57"/>
      <c r="AB21" s="58"/>
      <c r="AC21" s="7"/>
      <c r="AD21" s="7"/>
    </row>
    <row r="22" spans="2:30" ht="15.75" customHeight="1">
      <c r="B22" s="6"/>
      <c r="C22" s="6"/>
      <c r="D22" s="6"/>
      <c r="E22" s="7"/>
      <c r="F22" s="7"/>
      <c r="N22" s="7"/>
      <c r="O22" s="7"/>
      <c r="P22" s="57"/>
      <c r="Q22" s="57"/>
      <c r="R22" s="57"/>
      <c r="S22" s="57"/>
      <c r="T22" s="57"/>
      <c r="U22" s="57"/>
      <c r="V22" s="57"/>
      <c r="W22" s="57"/>
      <c r="X22" s="57"/>
      <c r="Y22" s="57"/>
      <c r="Z22" s="57"/>
      <c r="AA22" s="57"/>
      <c r="AB22" s="58"/>
      <c r="AC22" s="7"/>
      <c r="AD22" s="7"/>
    </row>
    <row r="23" spans="2:30" ht="15.75" customHeight="1">
      <c r="B23" s="6"/>
      <c r="C23" s="6"/>
      <c r="D23" s="6"/>
      <c r="E23" s="7"/>
      <c r="F23" s="7"/>
      <c r="N23" s="7"/>
      <c r="O23" s="7"/>
      <c r="P23" s="57"/>
      <c r="Q23" s="57"/>
      <c r="R23" s="57"/>
      <c r="S23" s="57"/>
      <c r="T23" s="57"/>
      <c r="U23" s="57"/>
      <c r="V23" s="57"/>
      <c r="W23" s="57"/>
      <c r="X23" s="57"/>
      <c r="Y23" s="57"/>
      <c r="Z23" s="57"/>
      <c r="AA23" s="57"/>
      <c r="AB23" s="58"/>
      <c r="AC23" s="7"/>
      <c r="AD23" s="7"/>
    </row>
    <row r="24" spans="2:30" ht="15.75" customHeight="1">
      <c r="B24" s="6"/>
      <c r="C24" s="6"/>
      <c r="D24" s="6"/>
      <c r="E24" s="7"/>
      <c r="F24" s="7"/>
      <c r="N24" s="7"/>
      <c r="O24" s="7"/>
      <c r="P24" s="57"/>
      <c r="Q24" s="57"/>
      <c r="R24" s="57"/>
      <c r="S24" s="57"/>
      <c r="T24" s="57"/>
      <c r="U24" s="57"/>
      <c r="V24" s="57"/>
      <c r="W24" s="57"/>
      <c r="X24" s="57"/>
      <c r="Y24" s="57"/>
      <c r="Z24" s="57"/>
      <c r="AA24" s="57"/>
      <c r="AB24" s="58"/>
      <c r="AC24" s="7"/>
      <c r="AD24" s="7"/>
    </row>
    <row r="25" spans="2:30" ht="15.75" customHeight="1" thickBot="1"/>
    <row r="26" spans="2:30" ht="15.75" customHeight="1" thickBot="1">
      <c r="B26" s="4"/>
      <c r="C26" s="4"/>
      <c r="D26" s="4"/>
      <c r="E26" s="4"/>
      <c r="F26" s="4"/>
      <c r="G26" s="96" t="s">
        <v>1</v>
      </c>
      <c r="H26" s="97"/>
      <c r="I26" s="97"/>
      <c r="J26" s="98"/>
      <c r="K26" s="6"/>
      <c r="L26" s="96" t="s">
        <v>2</v>
      </c>
      <c r="M26" s="99"/>
      <c r="N26" s="7"/>
      <c r="O26" s="7"/>
      <c r="P26" s="100" t="s">
        <v>3</v>
      </c>
      <c r="Q26" s="101"/>
      <c r="R26" s="102"/>
      <c r="S26" s="103" t="s">
        <v>4</v>
      </c>
      <c r="T26" s="101"/>
      <c r="U26" s="104"/>
      <c r="V26" s="100" t="s">
        <v>5</v>
      </c>
      <c r="W26" s="101"/>
      <c r="X26" s="102"/>
      <c r="Y26" s="103" t="s">
        <v>6</v>
      </c>
      <c r="Z26" s="101"/>
      <c r="AA26" s="104"/>
      <c r="AB26" s="80" t="s">
        <v>7</v>
      </c>
      <c r="AC26" s="7"/>
      <c r="AD26" s="7"/>
    </row>
    <row r="27" spans="2:30" ht="15.75" customHeight="1" thickBot="1">
      <c r="B27" s="5" t="s">
        <v>8</v>
      </c>
      <c r="C27" s="8" t="s">
        <v>9</v>
      </c>
      <c r="D27" s="9" t="s">
        <v>10</v>
      </c>
      <c r="E27" s="9" t="s">
        <v>11</v>
      </c>
      <c r="F27" s="10" t="s">
        <v>12</v>
      </c>
      <c r="G27" s="8" t="s">
        <v>13</v>
      </c>
      <c r="H27" s="9" t="s">
        <v>14</v>
      </c>
      <c r="I27" s="9" t="s">
        <v>15</v>
      </c>
      <c r="J27" s="11" t="s">
        <v>16</v>
      </c>
      <c r="L27" s="8" t="s">
        <v>13</v>
      </c>
      <c r="M27" s="11" t="s">
        <v>14</v>
      </c>
      <c r="N27" s="12"/>
      <c r="O27" s="12"/>
      <c r="P27" s="13" t="s">
        <v>17</v>
      </c>
      <c r="Q27" s="14" t="s">
        <v>18</v>
      </c>
      <c r="R27" s="15" t="s">
        <v>19</v>
      </c>
      <c r="S27" s="16" t="s">
        <v>17</v>
      </c>
      <c r="T27" s="14" t="s">
        <v>18</v>
      </c>
      <c r="U27" s="17" t="s">
        <v>19</v>
      </c>
      <c r="V27" s="13" t="s">
        <v>17</v>
      </c>
      <c r="W27" s="14" t="s">
        <v>18</v>
      </c>
      <c r="X27" s="15" t="s">
        <v>19</v>
      </c>
      <c r="Y27" s="16" t="s">
        <v>20</v>
      </c>
      <c r="Z27" s="14" t="s">
        <v>18</v>
      </c>
      <c r="AA27" s="17" t="s">
        <v>19</v>
      </c>
      <c r="AB27" s="81"/>
      <c r="AC27" s="12"/>
      <c r="AD27" s="12"/>
    </row>
    <row r="28" spans="2:30" ht="15.75" customHeight="1">
      <c r="B28" s="82" t="s">
        <v>41</v>
      </c>
      <c r="C28" s="86" t="s">
        <v>42</v>
      </c>
      <c r="D28" s="89" t="s">
        <v>43</v>
      </c>
      <c r="E28" s="18" t="s">
        <v>24</v>
      </c>
      <c r="F28" s="19" t="s">
        <v>25</v>
      </c>
      <c r="G28" s="20">
        <v>0</v>
      </c>
      <c r="H28" s="21">
        <v>10</v>
      </c>
      <c r="I28" s="21">
        <v>0</v>
      </c>
      <c r="J28" s="19">
        <v>0</v>
      </c>
      <c r="L28" s="22">
        <v>0</v>
      </c>
      <c r="M28" s="23">
        <v>10</v>
      </c>
      <c r="N28" s="7"/>
      <c r="O28" s="7"/>
      <c r="P28" s="24" t="s">
        <v>26</v>
      </c>
      <c r="Q28" s="25" t="s">
        <v>26</v>
      </c>
      <c r="R28" s="26" t="s">
        <v>26</v>
      </c>
      <c r="S28" s="27" t="s">
        <v>26</v>
      </c>
      <c r="T28" s="25" t="s">
        <v>26</v>
      </c>
      <c r="U28" s="26" t="s">
        <v>26</v>
      </c>
      <c r="V28" s="27" t="s">
        <v>26</v>
      </c>
      <c r="W28" s="25" t="s">
        <v>26</v>
      </c>
      <c r="X28" s="28" t="s">
        <v>26</v>
      </c>
      <c r="Y28" s="27" t="s">
        <v>26</v>
      </c>
      <c r="Z28" s="25" t="s">
        <v>26</v>
      </c>
      <c r="AA28" s="26" t="s">
        <v>26</v>
      </c>
      <c r="AB28" s="29" t="s">
        <v>24</v>
      </c>
      <c r="AC28" s="7"/>
      <c r="AD28" s="7"/>
    </row>
    <row r="29" spans="2:30" ht="15.75" customHeight="1">
      <c r="B29" s="83"/>
      <c r="C29" s="87"/>
      <c r="D29" s="90"/>
      <c r="E29" s="30" t="s">
        <v>24</v>
      </c>
      <c r="F29" s="31" t="s">
        <v>27</v>
      </c>
      <c r="G29" s="32">
        <v>10</v>
      </c>
      <c r="H29" s="30">
        <v>10</v>
      </c>
      <c r="I29" s="30">
        <v>0</v>
      </c>
      <c r="J29" s="31">
        <v>0</v>
      </c>
      <c r="L29" s="32">
        <v>10</v>
      </c>
      <c r="M29" s="31">
        <v>10</v>
      </c>
      <c r="N29" s="7"/>
      <c r="O29" s="7"/>
      <c r="P29" s="33">
        <f>SUM(G29,I29)/SUM(G29:J29)</f>
        <v>0.5</v>
      </c>
      <c r="Q29" s="34">
        <f>((SUM(G29,I29)+1.3613)-(1.65*SQRT(SUM(G29,I29)-(SUM(G29,I29)^2/SUM(G29:J29))+0.6806)))/(SUM(G29:J29)+2.7225)</f>
        <v>0.32693094787634341</v>
      </c>
      <c r="R29" s="35">
        <f>((SUM(G29,I29)+1.3613)+(1.65*SQRT(SUM(G29,I29)-(SUM(G29,I29)^2/SUM(G29:J29))+0.6806)))/(SUM(G29:J29)+2.7225)</f>
        <v>0.6730734530478506</v>
      </c>
      <c r="S29" s="33">
        <f>G29/SUM(G29:J29)</f>
        <v>0.5</v>
      </c>
      <c r="T29" s="34">
        <f>((G29+1.3613)-(1.65*SQRT(G29-(G29^2/SUM(G29:J29))+0.6806)))/(SUM(G29:J29)+2.7225)</f>
        <v>0.32693094787634341</v>
      </c>
      <c r="U29" s="35">
        <f>((G29+1.3613)+(1.65*SQRT(G29-(G29^2/SUM(G29:J29))+0.6806)))/(SUM(G29:J29)+2.7225)</f>
        <v>0.6730734530478506</v>
      </c>
      <c r="V29" s="33">
        <f>L29/SUM(L29:M29)</f>
        <v>0.5</v>
      </c>
      <c r="W29" s="34">
        <f>((L29+1.3613)-(1.65*SQRT(L29-(L29^2/SUM(L29:M29))+0.6806)))/(SUM(L29:M29)+2.7225)</f>
        <v>0.32693094787634341</v>
      </c>
      <c r="X29" s="36">
        <f>((L29+1.3613)+(1.65*SQRT(L29-(L29^2/SUM(L29:M29))+0.6806)))/(SUM(L29:M29)+2.7225)</f>
        <v>0.6730734530478506</v>
      </c>
      <c r="Y29" s="33">
        <f>S29-V29</f>
        <v>0</v>
      </c>
      <c r="Z29" s="34">
        <f>Y29-SQRT((S29-T29)^2+(V29-X29)^2)</f>
        <v>-0.24475971268345514</v>
      </c>
      <c r="AA29" s="35">
        <f>Y29+SQRT((S29-U29)^2+(V29-W29)^2)</f>
        <v>0.24475971268345514</v>
      </c>
      <c r="AB29" s="37" t="s">
        <v>28</v>
      </c>
      <c r="AC29" s="38"/>
      <c r="AD29" s="7"/>
    </row>
    <row r="30" spans="2:30" ht="15.75" customHeight="1" thickBot="1">
      <c r="B30" s="83"/>
      <c r="C30" s="88"/>
      <c r="D30" s="91"/>
      <c r="E30" s="39" t="s">
        <v>24</v>
      </c>
      <c r="F30" s="40" t="s">
        <v>29</v>
      </c>
      <c r="G30" s="32">
        <v>18</v>
      </c>
      <c r="H30" s="30">
        <v>2</v>
      </c>
      <c r="I30" s="30">
        <v>0</v>
      </c>
      <c r="J30" s="31">
        <v>0</v>
      </c>
      <c r="L30" s="32">
        <v>18</v>
      </c>
      <c r="M30" s="31">
        <v>2</v>
      </c>
      <c r="N30" s="7"/>
      <c r="O30" s="7"/>
      <c r="P30" s="33">
        <f>SUM(G30,I30)/SUM(G30:J30)</f>
        <v>0.9</v>
      </c>
      <c r="Q30" s="34">
        <f>((SUM(G30,I30)+1.3613)-(1.65*SQRT(SUM(G30,I30)-(SUM(G30,I30)^2/SUM(G30:J30))+0.6806)))/(SUM(G30:J30)+2.7225)</f>
        <v>0.7377076948078376</v>
      </c>
      <c r="R30" s="35">
        <f>((SUM(G30,I30)+1.3613)+(1.65*SQRT(SUM(G30,I30)-(SUM(G30,I30)^2/SUM(G30:J30))+0.6806)))/(SUM(G30:J30)+2.7225)</f>
        <v>0.96644457716927756</v>
      </c>
      <c r="S30" s="33">
        <f>G30/SUM(G30:J30)</f>
        <v>0.9</v>
      </c>
      <c r="T30" s="34">
        <f>((G30+1.3613)-(1.65*SQRT(G30-(G30^2/SUM(G30:J30))+0.6806)))/(SUM(G30:J30)+2.7225)</f>
        <v>0.7377076948078376</v>
      </c>
      <c r="U30" s="35">
        <f>((G30+1.3613)+(1.65*SQRT(G30-(G30^2/SUM(G30:J30))+0.6806)))/(SUM(G30:J30)+2.7225)</f>
        <v>0.96644457716927756</v>
      </c>
      <c r="V30" s="33">
        <f>L30/SUM(L30:M30)</f>
        <v>0.9</v>
      </c>
      <c r="W30" s="34">
        <f>((L30+1.3613)-(1.65*SQRT(L30-(L30^2/SUM(L30:M30))+0.6806)))/(SUM(L30:M30)+2.7225)</f>
        <v>0.7377076948078376</v>
      </c>
      <c r="X30" s="36">
        <f>((L30+1.3613)+(1.65*SQRT(L30-(L30^2/SUM(L30:M30))+0.6806)))/(SUM(L30:M30)+2.7225)</f>
        <v>0.96644457716927756</v>
      </c>
      <c r="Y30" s="33">
        <f>S30-V30</f>
        <v>0</v>
      </c>
      <c r="Z30" s="34">
        <f>Y30-SQRT((S30-T30)^2+(V30-X30)^2)</f>
        <v>-0.17536725509567078</v>
      </c>
      <c r="AA30" s="35">
        <f>Y30+SQRT((S30-U30)^2+(V30-W30)^2)</f>
        <v>0.17536725509567078</v>
      </c>
      <c r="AB30" s="37" t="s">
        <v>28</v>
      </c>
      <c r="AC30" s="7"/>
      <c r="AD30" s="7"/>
    </row>
    <row r="31" spans="2:30" ht="15.75" customHeight="1">
      <c r="B31" s="83"/>
      <c r="C31" s="92" t="s">
        <v>45</v>
      </c>
      <c r="D31" s="93" t="s">
        <v>46</v>
      </c>
      <c r="E31" s="41" t="s">
        <v>34</v>
      </c>
      <c r="F31" s="23" t="s">
        <v>25</v>
      </c>
      <c r="G31" s="22">
        <v>0</v>
      </c>
      <c r="H31" s="42">
        <v>10</v>
      </c>
      <c r="I31" s="42">
        <v>0</v>
      </c>
      <c r="J31" s="23">
        <v>0</v>
      </c>
      <c r="L31" s="22">
        <v>0</v>
      </c>
      <c r="M31" s="23">
        <v>10</v>
      </c>
      <c r="N31" s="7"/>
      <c r="O31" s="7"/>
      <c r="P31" s="33" t="s">
        <v>26</v>
      </c>
      <c r="Q31" s="34" t="s">
        <v>26</v>
      </c>
      <c r="R31" s="35" t="s">
        <v>26</v>
      </c>
      <c r="S31" s="33" t="s">
        <v>26</v>
      </c>
      <c r="T31" s="34" t="s">
        <v>26</v>
      </c>
      <c r="U31" s="35" t="s">
        <v>26</v>
      </c>
      <c r="V31" s="33" t="s">
        <v>26</v>
      </c>
      <c r="W31" s="34" t="s">
        <v>26</v>
      </c>
      <c r="X31" s="36" t="s">
        <v>26</v>
      </c>
      <c r="Y31" s="33" t="s">
        <v>26</v>
      </c>
      <c r="Z31" s="34" t="s">
        <v>26</v>
      </c>
      <c r="AA31" s="35" t="s">
        <v>26</v>
      </c>
      <c r="AB31" s="37" t="s">
        <v>24</v>
      </c>
      <c r="AC31" s="7"/>
      <c r="AD31" s="7"/>
    </row>
    <row r="32" spans="2:30" ht="15.75" customHeight="1">
      <c r="B32" s="83"/>
      <c r="C32" s="87"/>
      <c r="D32" s="90"/>
      <c r="E32" s="30" t="s">
        <v>34</v>
      </c>
      <c r="F32" s="31" t="s">
        <v>27</v>
      </c>
      <c r="G32" s="32">
        <v>11</v>
      </c>
      <c r="H32" s="30">
        <v>9</v>
      </c>
      <c r="I32" s="30">
        <v>0</v>
      </c>
      <c r="J32" s="31">
        <v>0</v>
      </c>
      <c r="L32" s="32">
        <v>11</v>
      </c>
      <c r="M32" s="31">
        <v>9</v>
      </c>
      <c r="N32" s="7"/>
      <c r="O32" s="7"/>
      <c r="P32" s="33">
        <f>SUM(G32,I32)/SUM(G32:J32)</f>
        <v>0.55000000000000004</v>
      </c>
      <c r="Q32" s="34">
        <f>((SUM(G32,I32)+1.3613)-(1.65*SQRT(SUM(G32,I32)-(SUM(G32,I32)^2/SUM(G32:J32))+0.6806)))/(SUM(G32:J32)+2.7225)</f>
        <v>0.37170355009739847</v>
      </c>
      <c r="R32" s="35">
        <f>((SUM(G32,I32)+1.3613)+(1.65*SQRT(SUM(G32,I32)-(SUM(G32,I32)^2/SUM(G32:J32))+0.6806)))/(SUM(G32:J32)+2.7225)</f>
        <v>0.71631933470841069</v>
      </c>
      <c r="S32" s="33">
        <f>G32/SUM(G32:J32)</f>
        <v>0.55000000000000004</v>
      </c>
      <c r="T32" s="34">
        <f>((G32+1.3613)-(1.65*SQRT(G32-(G32^2/SUM(G32:J32))+0.6806)))/(SUM(G32:J32)+2.7225)</f>
        <v>0.37170355009739847</v>
      </c>
      <c r="U32" s="35">
        <f>((G32+1.3613)+(1.65*SQRT(G32-(G32^2/SUM(G32:J32))+0.6806)))/(SUM(G32:J32)+2.7225)</f>
        <v>0.71631933470841069</v>
      </c>
      <c r="V32" s="33">
        <f>L32/SUM(L32:M32)</f>
        <v>0.55000000000000004</v>
      </c>
      <c r="W32" s="34">
        <f>((L32+1.3613)-(1.65*SQRT(L32-(L32^2/SUM(L32:M32))+0.6806)))/(SUM(L32:M32)+2.7225)</f>
        <v>0.37170355009739847</v>
      </c>
      <c r="X32" s="36">
        <f>((L32+1.3613)+(1.65*SQRT(L32-(L32^2/SUM(L32:M32))+0.6806)))/(SUM(L32:M32)+2.7225)</f>
        <v>0.71631933470841069</v>
      </c>
      <c r="Y32" s="33">
        <f>S32-V32</f>
        <v>0</v>
      </c>
      <c r="Z32" s="34">
        <f>Y32-SQRT((S32-T32)^2+(V32-X32)^2)</f>
        <v>-0.24382728548240709</v>
      </c>
      <c r="AA32" s="35">
        <f>Y32+SQRT((S32-U32)^2+(V32-W32)^2)</f>
        <v>0.24382728548240709</v>
      </c>
      <c r="AB32" s="37" t="s">
        <v>28</v>
      </c>
      <c r="AC32" s="7"/>
      <c r="AD32" s="7"/>
    </row>
    <row r="33" spans="2:30" ht="15.75" customHeight="1" thickBot="1">
      <c r="B33" s="83"/>
      <c r="C33" s="88"/>
      <c r="D33" s="91"/>
      <c r="E33" s="39" t="s">
        <v>34</v>
      </c>
      <c r="F33" s="40" t="s">
        <v>29</v>
      </c>
      <c r="G33" s="32">
        <v>20</v>
      </c>
      <c r="H33" s="30">
        <v>0</v>
      </c>
      <c r="I33" s="30">
        <v>0</v>
      </c>
      <c r="J33" s="31">
        <v>0</v>
      </c>
      <c r="L33" s="32">
        <v>20</v>
      </c>
      <c r="M33" s="31">
        <v>0</v>
      </c>
      <c r="N33" s="7"/>
      <c r="O33" s="7"/>
      <c r="P33" s="33">
        <f>SUM(G33,I33)/SUM(G33:J33)</f>
        <v>1</v>
      </c>
      <c r="Q33" s="34">
        <f>((SUM(G33,I33)+1.3613)-(1.65*SQRT(SUM(G33,I33)-(SUM(G33,I33)^2/SUM(G33:J33))+0.6806)))/(SUM(G33:J33)+2.7225)</f>
        <v>0.88018813951940023</v>
      </c>
      <c r="R33" s="35">
        <f>((SUM(G33,I33)+1.3613)+(1.65*SQRT(SUM(G33,I33)-(SUM(G33,I33)^2/SUM(G33:J33))+0.6806)))/(SUM(G33:J33)+2.7225)</f>
        <v>1.0000011002209452</v>
      </c>
      <c r="S33" s="33">
        <f>G33/SUM(G33:J33)</f>
        <v>1</v>
      </c>
      <c r="T33" s="34">
        <f>((G33+1.3613)-(1.65*SQRT(G33-(G33^2/SUM(G33:J33))+0.6806)))/(SUM(G33:J33)+2.7225)</f>
        <v>0.88018813951940023</v>
      </c>
      <c r="U33" s="35">
        <f>((G33+1.3613)+(1.65*SQRT(G33-(G33^2/SUM(G33:J33))+0.6806)))/(SUM(G33:J33)+2.7225)</f>
        <v>1.0000011002209452</v>
      </c>
      <c r="V33" s="33">
        <f>L33/SUM(L33:M33)</f>
        <v>1</v>
      </c>
      <c r="W33" s="34">
        <f>((L33+1.3613)-(1.65*SQRT(L33-(L33^2/SUM(L33:M33))+0.6806)))/(SUM(L33:M33)+2.7225)</f>
        <v>0.88018813951940023</v>
      </c>
      <c r="X33" s="36">
        <f>((L33+1.3613)+(1.65*SQRT(L33-(L33^2/SUM(L33:M33))+0.6806)))/(SUM(L33:M33)+2.7225)</f>
        <v>1.0000011002209452</v>
      </c>
      <c r="Y33" s="33">
        <f>S33-V33</f>
        <v>0</v>
      </c>
      <c r="Z33" s="34">
        <f>Y33-SQRT((S33-T33)^2+(V33-X33)^2)</f>
        <v>-0.11981186048565139</v>
      </c>
      <c r="AA33" s="35">
        <f>Y33+SQRT((S33-U33)^2+(V33-W33)^2)</f>
        <v>0.11981186048565139</v>
      </c>
      <c r="AB33" s="37" t="s">
        <v>28</v>
      </c>
      <c r="AC33" s="7"/>
      <c r="AD33" s="7"/>
    </row>
    <row r="34" spans="2:30" ht="15.75" customHeight="1">
      <c r="B34" s="83"/>
      <c r="C34" s="92" t="s">
        <v>47</v>
      </c>
      <c r="D34" s="93" t="s">
        <v>48</v>
      </c>
      <c r="E34" s="41" t="s">
        <v>24</v>
      </c>
      <c r="F34" s="23" t="s">
        <v>25</v>
      </c>
      <c r="G34" s="22">
        <v>0</v>
      </c>
      <c r="H34" s="42">
        <v>10</v>
      </c>
      <c r="I34" s="42">
        <v>0</v>
      </c>
      <c r="J34" s="23">
        <v>0</v>
      </c>
      <c r="L34" s="22">
        <v>0</v>
      </c>
      <c r="M34" s="23">
        <v>10</v>
      </c>
      <c r="N34" s="7"/>
      <c r="O34" s="7"/>
      <c r="P34" s="33" t="s">
        <v>26</v>
      </c>
      <c r="Q34" s="34" t="s">
        <v>26</v>
      </c>
      <c r="R34" s="35" t="s">
        <v>26</v>
      </c>
      <c r="S34" s="33" t="s">
        <v>26</v>
      </c>
      <c r="T34" s="34" t="s">
        <v>26</v>
      </c>
      <c r="U34" s="35" t="s">
        <v>26</v>
      </c>
      <c r="V34" s="33" t="s">
        <v>26</v>
      </c>
      <c r="W34" s="34" t="s">
        <v>26</v>
      </c>
      <c r="X34" s="36" t="s">
        <v>26</v>
      </c>
      <c r="Y34" s="33" t="s">
        <v>26</v>
      </c>
      <c r="Z34" s="34" t="s">
        <v>26</v>
      </c>
      <c r="AA34" s="35" t="s">
        <v>26</v>
      </c>
      <c r="AB34" s="37" t="s">
        <v>24</v>
      </c>
      <c r="AC34" s="7"/>
      <c r="AD34" s="7"/>
    </row>
    <row r="35" spans="2:30" ht="15.75" customHeight="1">
      <c r="B35" s="84"/>
      <c r="C35" s="94"/>
      <c r="D35" s="95"/>
      <c r="E35" s="43" t="s">
        <v>24</v>
      </c>
      <c r="F35" s="44" t="s">
        <v>27</v>
      </c>
      <c r="G35" s="45">
        <v>8</v>
      </c>
      <c r="H35" s="46">
        <v>12</v>
      </c>
      <c r="I35" s="46">
        <v>0</v>
      </c>
      <c r="J35" s="44">
        <v>0</v>
      </c>
      <c r="L35" s="45">
        <v>8</v>
      </c>
      <c r="M35" s="44">
        <v>12</v>
      </c>
      <c r="N35" s="7"/>
      <c r="O35" s="7"/>
      <c r="P35" s="47">
        <f>SUM(G35,I35)/SUM(G35:J35)</f>
        <v>0.4</v>
      </c>
      <c r="Q35" s="48">
        <f>((SUM(G35,I35)+1.3613)-(1.65*SQRT(SUM(G35,I35)-(SUM(G35,I35)^2/SUM(G35:J35))+0.6806)))/(SUM(G35:J35)+2.7225)</f>
        <v>0.24198647075497337</v>
      </c>
      <c r="R35" s="49">
        <f>((SUM(G35,I35)+1.3613)+(1.65*SQRT(SUM(G35,I35)-(SUM(G35,I35)^2/SUM(G35:J35))+0.6806)))/(SUM(G35:J35)+2.7225)</f>
        <v>0.5819809624059904</v>
      </c>
      <c r="S35" s="47">
        <f>G35/SUM(G35:J35)</f>
        <v>0.4</v>
      </c>
      <c r="T35" s="48">
        <f>((G35+1.3613)-(1.65*SQRT(G35-(G35^2/SUM(G35:J35))+0.6806)))/(SUM(G35:J35)+2.7225)</f>
        <v>0.24198647075497337</v>
      </c>
      <c r="U35" s="49">
        <f>((G35+1.3613)+(1.65*SQRT(G35-(G35^2/SUM(G35:J35))+0.6806)))/(SUM(G35:J35)+2.7225)</f>
        <v>0.5819809624059904</v>
      </c>
      <c r="V35" s="47">
        <f>L35/SUM(L35:M35)</f>
        <v>0.4</v>
      </c>
      <c r="W35" s="48">
        <f>((L35+1.3613)-(1.65*SQRT(L35-(L35^2/SUM(L35:M35))+0.6806)))/(SUM(L35:M35)+2.7225)</f>
        <v>0.24198647075497337</v>
      </c>
      <c r="X35" s="50">
        <f>((L35+1.3613)+(1.65*SQRT(L35-(L35^2/SUM(L35:M35))+0.6806)))/(SUM(L35:M35)+2.7225)</f>
        <v>0.5819809624059904</v>
      </c>
      <c r="Y35" s="47">
        <f>S35-V35</f>
        <v>0</v>
      </c>
      <c r="Z35" s="48">
        <f>Y35-SQRT((S35-T35)^2+(V35-X35)^2)</f>
        <v>-0.24100901664186627</v>
      </c>
      <c r="AA35" s="49">
        <f>Y35+SQRT((S35-U35)^2+(V35-W35)^2)</f>
        <v>0.24100901664186627</v>
      </c>
      <c r="AB35" s="37" t="s">
        <v>28</v>
      </c>
      <c r="AC35" s="7"/>
      <c r="AD35" s="7"/>
    </row>
    <row r="36" spans="2:30" ht="15.75" customHeight="1" thickBot="1">
      <c r="B36" s="85"/>
      <c r="C36" s="88"/>
      <c r="D36" s="91"/>
      <c r="E36" s="39" t="s">
        <v>24</v>
      </c>
      <c r="F36" s="40" t="s">
        <v>29</v>
      </c>
      <c r="G36" s="51">
        <v>13</v>
      </c>
      <c r="H36" s="39">
        <v>7</v>
      </c>
      <c r="I36" s="39">
        <v>0</v>
      </c>
      <c r="J36" s="40">
        <v>0</v>
      </c>
      <c r="L36" s="51">
        <v>13</v>
      </c>
      <c r="M36" s="40">
        <v>7</v>
      </c>
      <c r="N36" s="7"/>
      <c r="O36" s="7"/>
      <c r="P36" s="52">
        <f>SUM(G36,I36)/SUM(G36:J36)</f>
        <v>0.65</v>
      </c>
      <c r="Q36" s="53">
        <f>((SUM(G36,I36)+1.3613)-(1.65*SQRT(SUM(G36,I36)-(SUM(G36,I36)^2/SUM(G36:J36))+0.6806)))/(SUM(G36:J36)+2.7225)</f>
        <v>0.46595518412280768</v>
      </c>
      <c r="R36" s="54">
        <f>((SUM(G36,I36)+1.3613)+(1.65*SQRT(SUM(G36,I36)-(SUM(G36,I36)^2/SUM(G36:J36))+0.6806)))/(SUM(G36:J36)+2.7225)</f>
        <v>0.79810466844623185</v>
      </c>
      <c r="S36" s="52">
        <f>G36/SUM(G36:J36)</f>
        <v>0.65</v>
      </c>
      <c r="T36" s="53">
        <f>((G36+1.3613)-(1.65*SQRT(G36-(G36^2/SUM(G36:J36))+0.6806)))/(SUM(G36:J36)+2.7225)</f>
        <v>0.46595518412280768</v>
      </c>
      <c r="U36" s="54">
        <f>((G36+1.3613)+(1.65*SQRT(G36-(G36^2/SUM(G36:J36))+0.6806)))/(SUM(G36:J36)+2.7225)</f>
        <v>0.79810466844623185</v>
      </c>
      <c r="V36" s="52">
        <f>L36/SUM(L36:M36)</f>
        <v>0.65</v>
      </c>
      <c r="W36" s="53">
        <f>((L36+1.3613)-(1.65*SQRT(L36-(L36^2/SUM(L36:M36))+0.6806)))/(SUM(L36:M36)+2.7225)</f>
        <v>0.46595518412280768</v>
      </c>
      <c r="X36" s="55">
        <f>((L36+1.3613)+(1.65*SQRT(L36-(L36^2/SUM(L36:M36))+0.6806)))/(SUM(L36:M36)+2.7225)</f>
        <v>0.79810466844623185</v>
      </c>
      <c r="Y36" s="52">
        <f>S36-V36</f>
        <v>0</v>
      </c>
      <c r="Z36" s="53">
        <f>Y36-SQRT((S36-T36)^2+(V36-X36)^2)</f>
        <v>-0.23623608332944798</v>
      </c>
      <c r="AA36" s="54">
        <f>Y36+SQRT((S36-U36)^2+(V36-W36)^2)</f>
        <v>0.23623608332944798</v>
      </c>
      <c r="AB36" s="56" t="s">
        <v>28</v>
      </c>
      <c r="AC36" s="7"/>
      <c r="AD36" s="7"/>
    </row>
    <row r="37" spans="2:30" ht="15.75" customHeight="1" thickBot="1">
      <c r="B37" s="38" t="s">
        <v>49</v>
      </c>
      <c r="D37" s="6"/>
      <c r="E37" s="7"/>
      <c r="F37" s="7"/>
      <c r="G37" s="7"/>
      <c r="H37" s="7"/>
      <c r="I37" s="7"/>
      <c r="J37" s="7"/>
      <c r="L37" s="7"/>
      <c r="M37" s="7"/>
      <c r="N37" s="7"/>
      <c r="O37" s="7"/>
      <c r="P37" s="57"/>
      <c r="Q37" s="57"/>
      <c r="R37" s="57"/>
      <c r="S37" s="57"/>
      <c r="T37" s="57"/>
      <c r="U37" s="57"/>
      <c r="V37" s="57"/>
      <c r="W37" s="57"/>
      <c r="X37" s="57"/>
      <c r="Y37" s="57"/>
      <c r="Z37" s="57"/>
      <c r="AA37" s="57"/>
      <c r="AB37" s="58"/>
      <c r="AC37" s="7"/>
      <c r="AD37" s="7"/>
    </row>
    <row r="38" spans="2:30" ht="15.75" customHeight="1" thickBot="1">
      <c r="B38" s="6"/>
      <c r="C38" s="6"/>
      <c r="D38" s="6"/>
      <c r="E38" s="7"/>
      <c r="F38" s="7"/>
      <c r="G38" s="105" t="s">
        <v>35</v>
      </c>
      <c r="H38" s="106"/>
      <c r="I38" s="106"/>
      <c r="J38" s="107"/>
      <c r="L38" s="108" t="s">
        <v>2</v>
      </c>
      <c r="M38" s="109"/>
      <c r="N38" s="7"/>
      <c r="O38" s="7"/>
      <c r="P38" s="65" t="s">
        <v>36</v>
      </c>
      <c r="Q38" s="66">
        <f>SUM(G40:G42)/SUM(G40:G42,J40:J42)</f>
        <v>1</v>
      </c>
      <c r="R38" s="57"/>
      <c r="S38" s="57"/>
      <c r="T38" s="57"/>
      <c r="U38" s="57"/>
      <c r="V38" s="57"/>
      <c r="W38" s="57"/>
      <c r="X38" s="57"/>
      <c r="Y38" s="57"/>
      <c r="Z38" s="57"/>
      <c r="AA38" s="57"/>
      <c r="AB38" s="58"/>
      <c r="AC38" s="7"/>
      <c r="AD38" s="7"/>
    </row>
    <row r="39" spans="2:30" ht="15.75" customHeight="1" thickBot="1">
      <c r="B39" s="6"/>
      <c r="C39" s="6"/>
      <c r="D39" s="6"/>
      <c r="E39" s="7"/>
      <c r="F39" s="7"/>
      <c r="G39" s="59" t="s">
        <v>13</v>
      </c>
      <c r="H39" s="60" t="s">
        <v>14</v>
      </c>
      <c r="I39" s="60" t="s">
        <v>15</v>
      </c>
      <c r="J39" s="61" t="s">
        <v>16</v>
      </c>
      <c r="L39" s="59" t="s">
        <v>13</v>
      </c>
      <c r="M39" s="61" t="s">
        <v>14</v>
      </c>
      <c r="N39" s="7"/>
      <c r="O39" s="7"/>
      <c r="P39" s="67" t="s">
        <v>37</v>
      </c>
      <c r="Q39" s="68">
        <f>SUM(H40:H42)/SUM(H40:I42)</f>
        <v>1</v>
      </c>
      <c r="R39" s="57"/>
      <c r="S39" s="57"/>
      <c r="T39" s="57"/>
      <c r="U39" s="57"/>
      <c r="V39" s="57"/>
      <c r="W39" s="57"/>
      <c r="X39" s="57"/>
      <c r="Y39" s="57"/>
      <c r="Z39" s="57"/>
      <c r="AA39" s="57"/>
      <c r="AB39" s="58"/>
      <c r="AC39" s="7"/>
      <c r="AD39" s="7"/>
    </row>
    <row r="40" spans="2:30" ht="15.75" customHeight="1">
      <c r="B40" s="6"/>
      <c r="C40" s="6"/>
      <c r="D40" s="6"/>
      <c r="E40" s="7"/>
      <c r="F40" s="62" t="s">
        <v>25</v>
      </c>
      <c r="G40" s="20">
        <f>SUM(G28,G31,G34)</f>
        <v>0</v>
      </c>
      <c r="H40" s="21">
        <f t="shared" ref="H40:J40" si="3">SUM(H28,H31,H34)</f>
        <v>30</v>
      </c>
      <c r="I40" s="21">
        <f t="shared" si="3"/>
        <v>0</v>
      </c>
      <c r="J40" s="19">
        <f t="shared" si="3"/>
        <v>0</v>
      </c>
      <c r="L40" s="20">
        <f t="shared" ref="L40:M40" si="4">SUM(L28,L31,L34)</f>
        <v>0</v>
      </c>
      <c r="M40" s="19">
        <f t="shared" si="4"/>
        <v>30</v>
      </c>
      <c r="N40" s="7"/>
      <c r="O40" s="7"/>
      <c r="P40" s="67" t="s">
        <v>38</v>
      </c>
      <c r="Q40" s="68">
        <f>1-Q38</f>
        <v>0</v>
      </c>
      <c r="R40" s="57"/>
      <c r="S40" s="57"/>
      <c r="T40" s="57"/>
      <c r="U40" s="57"/>
      <c r="V40" s="57"/>
      <c r="W40" s="57"/>
      <c r="X40" s="57"/>
      <c r="Y40" s="57"/>
      <c r="Z40" s="57"/>
      <c r="AA40" s="57"/>
      <c r="AB40" s="58"/>
      <c r="AC40" s="7"/>
      <c r="AD40" s="7"/>
    </row>
    <row r="41" spans="2:30" ht="15.75" customHeight="1">
      <c r="B41" s="6"/>
      <c r="C41" s="6"/>
      <c r="D41" s="6"/>
      <c r="E41" s="7"/>
      <c r="F41" s="62" t="s">
        <v>27</v>
      </c>
      <c r="G41" s="32">
        <f t="shared" ref="G41:J41" si="5">SUM(G29,G32,G35)</f>
        <v>29</v>
      </c>
      <c r="H41" s="30">
        <f t="shared" si="5"/>
        <v>31</v>
      </c>
      <c r="I41" s="30">
        <f t="shared" si="5"/>
        <v>0</v>
      </c>
      <c r="J41" s="31">
        <f t="shared" si="5"/>
        <v>0</v>
      </c>
      <c r="L41" s="32">
        <f t="shared" ref="L41:M41" si="6">SUM(L29,L32,L35)</f>
        <v>29</v>
      </c>
      <c r="M41" s="31">
        <f t="shared" si="6"/>
        <v>31</v>
      </c>
      <c r="N41" s="7"/>
      <c r="O41" s="7"/>
      <c r="P41" s="67" t="s">
        <v>39</v>
      </c>
      <c r="Q41" s="69">
        <f>1-Q39</f>
        <v>0</v>
      </c>
      <c r="R41" s="57"/>
      <c r="S41" s="57"/>
      <c r="T41" s="57"/>
      <c r="U41" s="57"/>
      <c r="V41" s="57"/>
      <c r="W41" s="57"/>
      <c r="X41" s="57"/>
      <c r="Y41" s="57"/>
      <c r="Z41" s="57"/>
      <c r="AA41" s="57"/>
      <c r="AB41" s="58"/>
      <c r="AC41" s="7"/>
      <c r="AD41" s="7"/>
    </row>
    <row r="42" spans="2:30" ht="15.75" customHeight="1" thickBot="1">
      <c r="B42" s="6"/>
      <c r="C42" s="6"/>
      <c r="D42" s="6"/>
      <c r="E42" s="7"/>
      <c r="F42" s="62" t="s">
        <v>29</v>
      </c>
      <c r="G42" s="51">
        <f t="shared" ref="G42:J42" si="7">SUM(G30,G33,G36)</f>
        <v>51</v>
      </c>
      <c r="H42" s="39">
        <f t="shared" si="7"/>
        <v>9</v>
      </c>
      <c r="I42" s="39">
        <f t="shared" si="7"/>
        <v>0</v>
      </c>
      <c r="J42" s="40">
        <f t="shared" si="7"/>
        <v>0</v>
      </c>
      <c r="L42" s="51">
        <f t="shared" ref="L42:M42" si="8">SUM(L30,L33,L36)</f>
        <v>51</v>
      </c>
      <c r="M42" s="40">
        <f t="shared" si="8"/>
        <v>9</v>
      </c>
      <c r="N42" s="7"/>
      <c r="O42" s="7"/>
      <c r="P42" s="70" t="s">
        <v>40</v>
      </c>
      <c r="Q42" s="71">
        <f>SUM(G40:H42)/SUM(G40:J42)</f>
        <v>1</v>
      </c>
      <c r="R42" s="57"/>
      <c r="S42" s="57"/>
      <c r="T42" s="57"/>
      <c r="U42" s="57"/>
      <c r="V42" s="57"/>
      <c r="W42" s="57"/>
      <c r="X42" s="57"/>
      <c r="Y42" s="57"/>
      <c r="Z42" s="57"/>
      <c r="AA42" s="57"/>
      <c r="AB42" s="58"/>
      <c r="AC42" s="7"/>
      <c r="AD42" s="7"/>
    </row>
    <row r="43" spans="2:30" ht="15.75" customHeight="1">
      <c r="B43" s="6"/>
      <c r="C43" s="6"/>
      <c r="D43" s="6"/>
      <c r="E43" s="7"/>
      <c r="F43" s="7"/>
      <c r="G43" s="7">
        <f>SUM(G40:G42)</f>
        <v>80</v>
      </c>
      <c r="H43" s="7">
        <f>SUM(H40:H42)</f>
        <v>70</v>
      </c>
      <c r="I43" s="7">
        <f>SUM(I40:I42)</f>
        <v>0</v>
      </c>
      <c r="J43" s="7">
        <f>SUM(J40:J42)</f>
        <v>0</v>
      </c>
      <c r="K43" s="7"/>
      <c r="L43" s="7">
        <f>SUM(L40:L42)</f>
        <v>80</v>
      </c>
      <c r="M43" s="7">
        <f>SUM(M40:M42)</f>
        <v>70</v>
      </c>
      <c r="N43" s="7"/>
      <c r="O43" s="7"/>
      <c r="P43" s="57"/>
      <c r="Q43" s="57"/>
      <c r="R43" s="57"/>
      <c r="S43" s="57"/>
      <c r="T43" s="57"/>
      <c r="U43" s="57"/>
      <c r="V43" s="57"/>
      <c r="W43" s="57"/>
      <c r="X43" s="57"/>
      <c r="Y43" s="57"/>
      <c r="Z43" s="57"/>
      <c r="AA43" s="57"/>
      <c r="AB43" s="58"/>
      <c r="AC43" s="7"/>
      <c r="AD43" s="7"/>
    </row>
    <row r="44" spans="2:30" ht="15.75" customHeight="1">
      <c r="B44" s="6"/>
      <c r="C44" s="6"/>
      <c r="D44" s="6"/>
      <c r="E44" s="7"/>
      <c r="F44" s="7"/>
      <c r="N44" s="7"/>
      <c r="O44" s="7"/>
      <c r="P44" s="57"/>
      <c r="Q44" s="57"/>
      <c r="R44" s="57"/>
      <c r="S44" s="57"/>
      <c r="T44" s="57"/>
      <c r="U44" s="57"/>
      <c r="V44" s="57"/>
      <c r="W44" s="57"/>
      <c r="X44" s="57"/>
      <c r="Y44" s="57"/>
      <c r="Z44" s="57"/>
      <c r="AA44" s="57"/>
      <c r="AB44" s="58"/>
      <c r="AC44" s="7"/>
      <c r="AD44" s="7"/>
    </row>
    <row r="45" spans="2:30" ht="15.75" customHeight="1">
      <c r="B45" s="6"/>
      <c r="C45" s="6"/>
      <c r="D45" s="6"/>
      <c r="E45" s="7"/>
      <c r="F45" s="7"/>
      <c r="N45" s="7"/>
      <c r="O45" s="7"/>
      <c r="P45" s="57"/>
      <c r="Q45" s="57"/>
      <c r="R45" s="57"/>
      <c r="S45" s="57"/>
      <c r="T45" s="57"/>
      <c r="U45" s="57"/>
      <c r="V45" s="57"/>
      <c r="W45" s="57"/>
      <c r="X45" s="57"/>
      <c r="Y45" s="57"/>
      <c r="Z45" s="57"/>
      <c r="AA45" s="57"/>
      <c r="AB45" s="58"/>
      <c r="AC45" s="7"/>
      <c r="AD45" s="7"/>
    </row>
    <row r="46" spans="2:30" ht="15.75" customHeight="1">
      <c r="B46" s="6"/>
      <c r="C46" s="6"/>
      <c r="D46" s="6"/>
      <c r="E46" s="7"/>
      <c r="F46" s="7"/>
      <c r="N46" s="7"/>
      <c r="O46" s="7"/>
      <c r="P46" s="57"/>
      <c r="Q46" s="57"/>
      <c r="R46" s="57"/>
      <c r="S46" s="57"/>
      <c r="T46" s="57"/>
      <c r="U46" s="57"/>
      <c r="V46" s="57"/>
      <c r="W46" s="57"/>
      <c r="X46" s="57"/>
      <c r="Y46" s="57"/>
      <c r="Z46" s="57"/>
      <c r="AA46" s="57"/>
      <c r="AB46" s="58"/>
      <c r="AC46" s="7"/>
      <c r="AD46" s="7"/>
    </row>
    <row r="47" spans="2:30" ht="15.75" customHeight="1" thickBot="1"/>
    <row r="48" spans="2:30" ht="15.75" customHeight="1" thickBot="1">
      <c r="B48" s="4"/>
      <c r="C48" s="4"/>
      <c r="D48" s="4"/>
      <c r="E48" s="4"/>
      <c r="F48" s="4"/>
      <c r="G48" s="96" t="s">
        <v>1</v>
      </c>
      <c r="H48" s="97"/>
      <c r="I48" s="97"/>
      <c r="J48" s="98"/>
      <c r="K48" s="6"/>
      <c r="L48" s="96" t="s">
        <v>2</v>
      </c>
      <c r="M48" s="99"/>
      <c r="N48" s="7"/>
      <c r="O48" s="7"/>
      <c r="P48" s="100" t="s">
        <v>3</v>
      </c>
      <c r="Q48" s="101"/>
      <c r="R48" s="102"/>
      <c r="S48" s="103" t="s">
        <v>4</v>
      </c>
      <c r="T48" s="101"/>
      <c r="U48" s="104"/>
      <c r="V48" s="100" t="s">
        <v>5</v>
      </c>
      <c r="W48" s="101"/>
      <c r="X48" s="102"/>
      <c r="Y48" s="103" t="s">
        <v>6</v>
      </c>
      <c r="Z48" s="101"/>
      <c r="AA48" s="104"/>
      <c r="AB48" s="80" t="s">
        <v>7</v>
      </c>
      <c r="AC48" s="7"/>
      <c r="AD48" s="7"/>
    </row>
    <row r="49" spans="2:30" ht="15.75" customHeight="1" thickBot="1">
      <c r="B49" s="5" t="s">
        <v>8</v>
      </c>
      <c r="C49" s="8" t="s">
        <v>9</v>
      </c>
      <c r="D49" s="9" t="s">
        <v>10</v>
      </c>
      <c r="E49" s="9" t="s">
        <v>11</v>
      </c>
      <c r="F49" s="10" t="s">
        <v>12</v>
      </c>
      <c r="G49" s="8" t="s">
        <v>13</v>
      </c>
      <c r="H49" s="9" t="s">
        <v>14</v>
      </c>
      <c r="I49" s="9" t="s">
        <v>15</v>
      </c>
      <c r="J49" s="11" t="s">
        <v>16</v>
      </c>
      <c r="L49" s="8" t="s">
        <v>13</v>
      </c>
      <c r="M49" s="11" t="s">
        <v>14</v>
      </c>
      <c r="N49" s="12"/>
      <c r="O49" s="12"/>
      <c r="P49" s="13" t="s">
        <v>17</v>
      </c>
      <c r="Q49" s="14" t="s">
        <v>18</v>
      </c>
      <c r="R49" s="15" t="s">
        <v>19</v>
      </c>
      <c r="S49" s="16" t="s">
        <v>17</v>
      </c>
      <c r="T49" s="14" t="s">
        <v>18</v>
      </c>
      <c r="U49" s="17" t="s">
        <v>19</v>
      </c>
      <c r="V49" s="13" t="s">
        <v>17</v>
      </c>
      <c r="W49" s="14" t="s">
        <v>18</v>
      </c>
      <c r="X49" s="15" t="s">
        <v>19</v>
      </c>
      <c r="Y49" s="16" t="s">
        <v>20</v>
      </c>
      <c r="Z49" s="14" t="s">
        <v>18</v>
      </c>
      <c r="AA49" s="17" t="s">
        <v>19</v>
      </c>
      <c r="AB49" s="81"/>
      <c r="AC49" s="12"/>
      <c r="AD49" s="12"/>
    </row>
    <row r="50" spans="2:30" ht="15.75" customHeight="1">
      <c r="B50" s="82" t="s">
        <v>50</v>
      </c>
      <c r="C50" s="86" t="s">
        <v>51</v>
      </c>
      <c r="D50" s="89" t="s">
        <v>52</v>
      </c>
      <c r="E50" s="18" t="s">
        <v>24</v>
      </c>
      <c r="F50" s="19" t="s">
        <v>25</v>
      </c>
      <c r="G50" s="20">
        <v>0</v>
      </c>
      <c r="H50" s="21">
        <v>10</v>
      </c>
      <c r="I50" s="21">
        <v>0</v>
      </c>
      <c r="J50" s="19">
        <v>0</v>
      </c>
      <c r="L50" s="20">
        <v>0</v>
      </c>
      <c r="M50" s="19">
        <v>10</v>
      </c>
      <c r="N50" s="7"/>
      <c r="O50" s="7"/>
      <c r="P50" s="24" t="s">
        <v>26</v>
      </c>
      <c r="Q50" s="25" t="s">
        <v>26</v>
      </c>
      <c r="R50" s="26" t="s">
        <v>26</v>
      </c>
      <c r="S50" s="27" t="s">
        <v>26</v>
      </c>
      <c r="T50" s="25" t="s">
        <v>26</v>
      </c>
      <c r="U50" s="26" t="s">
        <v>26</v>
      </c>
      <c r="V50" s="27" t="s">
        <v>26</v>
      </c>
      <c r="W50" s="25" t="s">
        <v>26</v>
      </c>
      <c r="X50" s="28" t="s">
        <v>26</v>
      </c>
      <c r="Y50" s="27" t="s">
        <v>26</v>
      </c>
      <c r="Z50" s="25" t="s">
        <v>26</v>
      </c>
      <c r="AA50" s="26" t="s">
        <v>26</v>
      </c>
      <c r="AB50" s="29" t="s">
        <v>24</v>
      </c>
      <c r="AC50" s="7"/>
      <c r="AD50" s="7"/>
    </row>
    <row r="51" spans="2:30" ht="15.75" customHeight="1">
      <c r="B51" s="83"/>
      <c r="C51" s="87"/>
      <c r="D51" s="90"/>
      <c r="E51" s="30" t="s">
        <v>24</v>
      </c>
      <c r="F51" s="31" t="s">
        <v>27</v>
      </c>
      <c r="G51" s="32">
        <v>11</v>
      </c>
      <c r="H51" s="30">
        <v>9</v>
      </c>
      <c r="I51" s="30">
        <v>0</v>
      </c>
      <c r="J51" s="31">
        <v>0</v>
      </c>
      <c r="L51" s="32">
        <v>11</v>
      </c>
      <c r="M51" s="31">
        <v>9</v>
      </c>
      <c r="N51" s="7"/>
      <c r="O51" s="7"/>
      <c r="P51" s="33">
        <f>SUM(G51,I51)/SUM(G51:J51)</f>
        <v>0.55000000000000004</v>
      </c>
      <c r="Q51" s="34">
        <f>((SUM(G51,I51)+1.3613)-(1.65*SQRT(SUM(G51,I51)-(SUM(G51,I51)^2/SUM(G51:J51))+0.6806)))/(SUM(G51:J51)+2.7225)</f>
        <v>0.37170355009739847</v>
      </c>
      <c r="R51" s="35">
        <f>((SUM(G51,I51)+1.3613)+(1.65*SQRT(SUM(G51,I51)-(SUM(G51,I51)^2/SUM(G51:J51))+0.6806)))/(SUM(G51:J51)+2.7225)</f>
        <v>0.71631933470841069</v>
      </c>
      <c r="S51" s="33">
        <f>G51/SUM(G51:J51)</f>
        <v>0.55000000000000004</v>
      </c>
      <c r="T51" s="34">
        <f>((G51+1.3613)-(1.65*SQRT(G51-(G51^2/SUM(G51:J51))+0.6806)))/(SUM(G51:J51)+2.7225)</f>
        <v>0.37170355009739847</v>
      </c>
      <c r="U51" s="35">
        <f>((G51+1.3613)+(1.65*SQRT(G51-(G51^2/SUM(G51:J51))+0.6806)))/(SUM(G51:J51)+2.7225)</f>
        <v>0.71631933470841069</v>
      </c>
      <c r="V51" s="33">
        <f>L51/SUM(L51:M51)</f>
        <v>0.55000000000000004</v>
      </c>
      <c r="W51" s="34">
        <f>((L51+1.3613)-(1.65*SQRT(L51-(L51^2/SUM(L51:M51))+0.6806)))/(SUM(L51:M51)+2.7225)</f>
        <v>0.37170355009739847</v>
      </c>
      <c r="X51" s="36">
        <f>((L51+1.3613)+(1.65*SQRT(L51-(L51^2/SUM(L51:M51))+0.6806)))/(SUM(L51:M51)+2.7225)</f>
        <v>0.71631933470841069</v>
      </c>
      <c r="Y51" s="33">
        <f>S51-V51</f>
        <v>0</v>
      </c>
      <c r="Z51" s="34">
        <f>Y51-SQRT((S51-T51)^2+(V51-X51)^2)</f>
        <v>-0.24382728548240709</v>
      </c>
      <c r="AA51" s="35">
        <f>Y51+SQRT((S51-U51)^2+(V51-W51)^2)</f>
        <v>0.24382728548240709</v>
      </c>
      <c r="AB51" s="37" t="s">
        <v>28</v>
      </c>
      <c r="AC51" s="38"/>
      <c r="AD51" s="7"/>
    </row>
    <row r="52" spans="2:30" ht="15.75" customHeight="1" thickBot="1">
      <c r="B52" s="83"/>
      <c r="C52" s="88"/>
      <c r="D52" s="91"/>
      <c r="E52" s="39" t="s">
        <v>24</v>
      </c>
      <c r="F52" s="40" t="s">
        <v>29</v>
      </c>
      <c r="G52" s="32">
        <v>20</v>
      </c>
      <c r="H52" s="30">
        <v>0</v>
      </c>
      <c r="I52" s="30">
        <v>0</v>
      </c>
      <c r="J52" s="31">
        <v>0</v>
      </c>
      <c r="L52" s="32">
        <v>20</v>
      </c>
      <c r="M52" s="31">
        <v>0</v>
      </c>
      <c r="N52" s="7"/>
      <c r="O52" s="7"/>
      <c r="P52" s="33">
        <f>SUM(G52,I52)/SUM(G52:J52)</f>
        <v>1</v>
      </c>
      <c r="Q52" s="34">
        <f>((SUM(G52,I52)+1.3613)-(1.65*SQRT(SUM(G52,I52)-(SUM(G52,I52)^2/SUM(G52:J52))+0.6806)))/(SUM(G52:J52)+2.7225)</f>
        <v>0.88018813951940023</v>
      </c>
      <c r="R52" s="35">
        <f>((SUM(G52,I52)+1.3613)+(1.65*SQRT(SUM(G52,I52)-(SUM(G52,I52)^2/SUM(G52:J52))+0.6806)))/(SUM(G52:J52)+2.7225)</f>
        <v>1.0000011002209452</v>
      </c>
      <c r="S52" s="33">
        <f>G52/SUM(G52:J52)</f>
        <v>1</v>
      </c>
      <c r="T52" s="34">
        <f>((G52+1.3613)-(1.65*SQRT(G52-(G52^2/SUM(G52:J52))+0.6806)))/(SUM(G52:J52)+2.7225)</f>
        <v>0.88018813951940023</v>
      </c>
      <c r="U52" s="35">
        <f>((G52+1.3613)+(1.65*SQRT(G52-(G52^2/SUM(G52:J52))+0.6806)))/(SUM(G52:J52)+2.7225)</f>
        <v>1.0000011002209452</v>
      </c>
      <c r="V52" s="33">
        <f>L52/SUM(L52:M52)</f>
        <v>1</v>
      </c>
      <c r="W52" s="34">
        <f>((L52+1.3613)-(1.65*SQRT(L52-(L52^2/SUM(L52:M52))+0.6806)))/(SUM(L52:M52)+2.7225)</f>
        <v>0.88018813951940023</v>
      </c>
      <c r="X52" s="36">
        <f>((L52+1.3613)+(1.65*SQRT(L52-(L52^2/SUM(L52:M52))+0.6806)))/(SUM(L52:M52)+2.7225)</f>
        <v>1.0000011002209452</v>
      </c>
      <c r="Y52" s="33">
        <f>S52-V52</f>
        <v>0</v>
      </c>
      <c r="Z52" s="34">
        <f>Y52-SQRT((S52-T52)^2+(V52-X52)^2)</f>
        <v>-0.11981186048565139</v>
      </c>
      <c r="AA52" s="35">
        <f>Y52+SQRT((S52-U52)^2+(V52-W52)^2)</f>
        <v>0.11981186048565139</v>
      </c>
      <c r="AB52" s="37" t="s">
        <v>28</v>
      </c>
      <c r="AC52" s="7"/>
      <c r="AD52" s="7"/>
    </row>
    <row r="53" spans="2:30" ht="15.75" customHeight="1">
      <c r="B53" s="83"/>
      <c r="C53" s="92" t="s">
        <v>53</v>
      </c>
      <c r="D53" s="93" t="s">
        <v>54</v>
      </c>
      <c r="E53" s="41" t="s">
        <v>34</v>
      </c>
      <c r="F53" s="23" t="s">
        <v>25</v>
      </c>
      <c r="G53" s="22">
        <v>0</v>
      </c>
      <c r="H53" s="42">
        <v>10</v>
      </c>
      <c r="I53" s="42">
        <v>0</v>
      </c>
      <c r="J53" s="23">
        <v>0</v>
      </c>
      <c r="L53" s="22">
        <v>0</v>
      </c>
      <c r="M53" s="23">
        <v>10</v>
      </c>
      <c r="N53" s="7"/>
      <c r="O53" s="7"/>
      <c r="P53" s="33" t="s">
        <v>26</v>
      </c>
      <c r="Q53" s="34" t="s">
        <v>26</v>
      </c>
      <c r="R53" s="35" t="s">
        <v>26</v>
      </c>
      <c r="S53" s="33" t="s">
        <v>26</v>
      </c>
      <c r="T53" s="34" t="s">
        <v>26</v>
      </c>
      <c r="U53" s="35" t="s">
        <v>26</v>
      </c>
      <c r="V53" s="33" t="s">
        <v>26</v>
      </c>
      <c r="W53" s="34" t="s">
        <v>26</v>
      </c>
      <c r="X53" s="36" t="s">
        <v>26</v>
      </c>
      <c r="Y53" s="33" t="s">
        <v>26</v>
      </c>
      <c r="Z53" s="34" t="s">
        <v>26</v>
      </c>
      <c r="AA53" s="35" t="s">
        <v>26</v>
      </c>
      <c r="AB53" s="37" t="s">
        <v>24</v>
      </c>
      <c r="AC53" s="7"/>
      <c r="AD53" s="7"/>
    </row>
    <row r="54" spans="2:30" ht="15.75" customHeight="1">
      <c r="B54" s="83"/>
      <c r="C54" s="87"/>
      <c r="D54" s="90"/>
      <c r="E54" s="30" t="s">
        <v>34</v>
      </c>
      <c r="F54" s="31" t="s">
        <v>27</v>
      </c>
      <c r="G54" s="32">
        <v>16</v>
      </c>
      <c r="H54" s="30">
        <v>4</v>
      </c>
      <c r="I54" s="30">
        <v>0</v>
      </c>
      <c r="J54" s="31">
        <v>0</v>
      </c>
      <c r="L54" s="32">
        <v>16</v>
      </c>
      <c r="M54" s="31">
        <v>4</v>
      </c>
      <c r="N54" s="7"/>
      <c r="O54" s="7"/>
      <c r="P54" s="33">
        <f>SUM(G54,I54)/SUM(G54:J54)</f>
        <v>0.8</v>
      </c>
      <c r="Q54" s="34">
        <f>((SUM(G54,I54)+1.3613)-(1.65*SQRT(SUM(G54,I54)-(SUM(G54,I54)^2/SUM(G54:J54))+0.6806)))/(SUM(G54:J54)+2.7225)</f>
        <v>0.62101114036509186</v>
      </c>
      <c r="R54" s="35">
        <f>((SUM(G54,I54)+1.3613)+(1.65*SQRT(SUM(G54,I54)-(SUM(G54,I54)^2/SUM(G54:J54))+0.6806)))/(SUM(G54:J54)+2.7225)</f>
        <v>0.907104163848793</v>
      </c>
      <c r="S54" s="33">
        <f>G54/SUM(G54:J54)</f>
        <v>0.8</v>
      </c>
      <c r="T54" s="34">
        <f>((G54+1.3613)-(1.65*SQRT(G54-(G54^2/SUM(G54:J54))+0.6806)))/(SUM(G54:J54)+2.7225)</f>
        <v>0.62101114036509186</v>
      </c>
      <c r="U54" s="35">
        <f>((G54+1.3613)+(1.65*SQRT(G54-(G54^2/SUM(G54:J54))+0.6806)))/(SUM(G54:J54)+2.7225)</f>
        <v>0.907104163848793</v>
      </c>
      <c r="V54" s="33">
        <f>L54/SUM(L54:M54)</f>
        <v>0.8</v>
      </c>
      <c r="W54" s="34">
        <f>((L54+1.3613)-(1.65*SQRT(L54-(L54^2/SUM(L54:M54))+0.6806)))/(SUM(L54:M54)+2.7225)</f>
        <v>0.62101114036509186</v>
      </c>
      <c r="X54" s="36">
        <f>((L54+1.3613)+(1.65*SQRT(L54-(L54^2/SUM(L54:M54))+0.6806)))/(SUM(L54:M54)+2.7225)</f>
        <v>0.907104163848793</v>
      </c>
      <c r="Y54" s="33">
        <f>S54-V54</f>
        <v>0</v>
      </c>
      <c r="Z54" s="34">
        <f>Y54-SQRT((S54-T54)^2+(V54-X54)^2)</f>
        <v>-0.20858646597311617</v>
      </c>
      <c r="AA54" s="35">
        <f>Y54+SQRT((S54-U54)^2+(V54-W54)^2)</f>
        <v>0.20858646597311617</v>
      </c>
      <c r="AB54" s="37" t="s">
        <v>28</v>
      </c>
      <c r="AC54" s="7"/>
      <c r="AD54" s="7"/>
    </row>
    <row r="55" spans="2:30" ht="15.75" customHeight="1" thickBot="1">
      <c r="B55" s="83"/>
      <c r="C55" s="88"/>
      <c r="D55" s="91"/>
      <c r="E55" s="39" t="s">
        <v>34</v>
      </c>
      <c r="F55" s="40" t="s">
        <v>29</v>
      </c>
      <c r="G55" s="32">
        <v>20</v>
      </c>
      <c r="H55" s="30">
        <v>0</v>
      </c>
      <c r="I55" s="30">
        <v>0</v>
      </c>
      <c r="J55" s="31">
        <v>0</v>
      </c>
      <c r="L55" s="32">
        <v>20</v>
      </c>
      <c r="M55" s="31">
        <v>0</v>
      </c>
      <c r="N55" s="7"/>
      <c r="O55" s="7"/>
      <c r="P55" s="33">
        <f>SUM(G55,I55)/SUM(G55:J55)</f>
        <v>1</v>
      </c>
      <c r="Q55" s="34">
        <f>((SUM(G55,I55)+1.3613)-(1.65*SQRT(SUM(G55,I55)-(SUM(G55,I55)^2/SUM(G55:J55))+0.6806)))/(SUM(G55:J55)+2.7225)</f>
        <v>0.88018813951940023</v>
      </c>
      <c r="R55" s="35">
        <f>((SUM(G55,I55)+1.3613)+(1.65*SQRT(SUM(G55,I55)-(SUM(G55,I55)^2/SUM(G55:J55))+0.6806)))/(SUM(G55:J55)+2.7225)</f>
        <v>1.0000011002209452</v>
      </c>
      <c r="S55" s="33">
        <f>G55/SUM(G55:J55)</f>
        <v>1</v>
      </c>
      <c r="T55" s="34">
        <f>((G55+1.3613)-(1.65*SQRT(G55-(G55^2/SUM(G55:J55))+0.6806)))/(SUM(G55:J55)+2.7225)</f>
        <v>0.88018813951940023</v>
      </c>
      <c r="U55" s="35">
        <f>((G55+1.3613)+(1.65*SQRT(G55-(G55^2/SUM(G55:J55))+0.6806)))/(SUM(G55:J55)+2.7225)</f>
        <v>1.0000011002209452</v>
      </c>
      <c r="V55" s="33">
        <f>L55/SUM(L55:M55)</f>
        <v>1</v>
      </c>
      <c r="W55" s="34">
        <f>((L55+1.3613)-(1.65*SQRT(L55-(L55^2/SUM(L55:M55))+0.6806)))/(SUM(L55:M55)+2.7225)</f>
        <v>0.88018813951940023</v>
      </c>
      <c r="X55" s="36">
        <f>((L55+1.3613)+(1.65*SQRT(L55-(L55^2/SUM(L55:M55))+0.6806)))/(SUM(L55:M55)+2.7225)</f>
        <v>1.0000011002209452</v>
      </c>
      <c r="Y55" s="33">
        <f>S55-V55</f>
        <v>0</v>
      </c>
      <c r="Z55" s="34">
        <f>Y55-SQRT((S55-T55)^2+(V55-X55)^2)</f>
        <v>-0.11981186048565139</v>
      </c>
      <c r="AA55" s="35">
        <f>Y55+SQRT((S55-U55)^2+(V55-W55)^2)</f>
        <v>0.11981186048565139</v>
      </c>
      <c r="AB55" s="37" t="s">
        <v>28</v>
      </c>
      <c r="AC55" s="7"/>
      <c r="AD55" s="7"/>
    </row>
    <row r="56" spans="2:30" ht="15.75" customHeight="1">
      <c r="B56" s="83"/>
      <c r="C56" s="92" t="s">
        <v>55</v>
      </c>
      <c r="D56" s="93" t="s">
        <v>56</v>
      </c>
      <c r="E56" s="41" t="s">
        <v>24</v>
      </c>
      <c r="F56" s="23" t="s">
        <v>25</v>
      </c>
      <c r="G56" s="22">
        <v>0</v>
      </c>
      <c r="H56" s="42">
        <v>10</v>
      </c>
      <c r="I56" s="42">
        <v>0</v>
      </c>
      <c r="J56" s="23">
        <v>0</v>
      </c>
      <c r="L56" s="22">
        <v>0</v>
      </c>
      <c r="M56" s="23">
        <v>10</v>
      </c>
      <c r="N56" s="7"/>
      <c r="O56" s="7"/>
      <c r="P56" s="33" t="s">
        <v>26</v>
      </c>
      <c r="Q56" s="34" t="s">
        <v>26</v>
      </c>
      <c r="R56" s="35" t="s">
        <v>26</v>
      </c>
      <c r="S56" s="33" t="s">
        <v>26</v>
      </c>
      <c r="T56" s="34" t="s">
        <v>26</v>
      </c>
      <c r="U56" s="35" t="s">
        <v>26</v>
      </c>
      <c r="V56" s="33" t="s">
        <v>26</v>
      </c>
      <c r="W56" s="34" t="s">
        <v>26</v>
      </c>
      <c r="X56" s="36" t="s">
        <v>26</v>
      </c>
      <c r="Y56" s="33" t="s">
        <v>26</v>
      </c>
      <c r="Z56" s="34" t="s">
        <v>26</v>
      </c>
      <c r="AA56" s="35" t="s">
        <v>26</v>
      </c>
      <c r="AB56" s="37" t="s">
        <v>24</v>
      </c>
      <c r="AC56" s="7"/>
      <c r="AD56" s="7"/>
    </row>
    <row r="57" spans="2:30" ht="15.75" customHeight="1">
      <c r="B57" s="84"/>
      <c r="C57" s="94"/>
      <c r="D57" s="95"/>
      <c r="E57" s="43" t="s">
        <v>24</v>
      </c>
      <c r="F57" s="44" t="s">
        <v>27</v>
      </c>
      <c r="G57" s="45">
        <v>13</v>
      </c>
      <c r="H57" s="46">
        <v>7</v>
      </c>
      <c r="I57" s="46">
        <v>0</v>
      </c>
      <c r="J57" s="44">
        <v>0</v>
      </c>
      <c r="L57" s="45">
        <v>13</v>
      </c>
      <c r="M57" s="44">
        <v>7</v>
      </c>
      <c r="N57" s="7"/>
      <c r="O57" s="7"/>
      <c r="P57" s="47">
        <f>SUM(G57,I57)/SUM(G57:J57)</f>
        <v>0.65</v>
      </c>
      <c r="Q57" s="48">
        <f>((SUM(G57,I57)+1.3613)-(1.65*SQRT(SUM(G57,I57)-(SUM(G57,I57)^2/SUM(G57:J57))+0.6806)))/(SUM(G57:J57)+2.7225)</f>
        <v>0.46595518412280768</v>
      </c>
      <c r="R57" s="49">
        <f>((SUM(G57,I57)+1.3613)+(1.65*SQRT(SUM(G57,I57)-(SUM(G57,I57)^2/SUM(G57:J57))+0.6806)))/(SUM(G57:J57)+2.7225)</f>
        <v>0.79810466844623185</v>
      </c>
      <c r="S57" s="47">
        <f>G57/SUM(G57:J57)</f>
        <v>0.65</v>
      </c>
      <c r="T57" s="48">
        <f>((G57+1.3613)-(1.65*SQRT(G57-(G57^2/SUM(G57:J57))+0.6806)))/(SUM(G57:J57)+2.7225)</f>
        <v>0.46595518412280768</v>
      </c>
      <c r="U57" s="49">
        <f>((G57+1.3613)+(1.65*SQRT(G57-(G57^2/SUM(G57:J57))+0.6806)))/(SUM(G57:J57)+2.7225)</f>
        <v>0.79810466844623185</v>
      </c>
      <c r="V57" s="47">
        <f>L57/SUM(L57:M57)</f>
        <v>0.65</v>
      </c>
      <c r="W57" s="48">
        <f>((L57+1.3613)-(1.65*SQRT(L57-(L57^2/SUM(L57:M57))+0.6806)))/(SUM(L57:M57)+2.7225)</f>
        <v>0.46595518412280768</v>
      </c>
      <c r="X57" s="50">
        <f>((L57+1.3613)+(1.65*SQRT(L57-(L57^2/SUM(L57:M57))+0.6806)))/(SUM(L57:M57)+2.7225)</f>
        <v>0.79810466844623185</v>
      </c>
      <c r="Y57" s="47">
        <f>S57-V57</f>
        <v>0</v>
      </c>
      <c r="Z57" s="48">
        <f>Y57-SQRT((S57-T57)^2+(V57-X57)^2)</f>
        <v>-0.23623608332944798</v>
      </c>
      <c r="AA57" s="49">
        <f>Y57+SQRT((S57-U57)^2+(V57-W57)^2)</f>
        <v>0.23623608332944798</v>
      </c>
      <c r="AB57" s="37" t="s">
        <v>28</v>
      </c>
      <c r="AC57" s="7"/>
      <c r="AD57" s="7"/>
    </row>
    <row r="58" spans="2:30" ht="15.75" customHeight="1" thickBot="1">
      <c r="B58" s="85"/>
      <c r="C58" s="88"/>
      <c r="D58" s="91"/>
      <c r="E58" s="39" t="s">
        <v>24</v>
      </c>
      <c r="F58" s="40" t="s">
        <v>29</v>
      </c>
      <c r="G58" s="51">
        <v>20</v>
      </c>
      <c r="H58" s="39">
        <v>0</v>
      </c>
      <c r="I58" s="39">
        <v>0</v>
      </c>
      <c r="J58" s="40">
        <v>0</v>
      </c>
      <c r="L58" s="51">
        <v>20</v>
      </c>
      <c r="M58" s="40">
        <v>0</v>
      </c>
      <c r="N58" s="7"/>
      <c r="O58" s="7"/>
      <c r="P58" s="52">
        <f>SUM(G58,I58)/SUM(G58:J58)</f>
        <v>1</v>
      </c>
      <c r="Q58" s="53">
        <f>((SUM(G58,I58)+1.3613)-(1.65*SQRT(SUM(G58,I58)-(SUM(G58,I58)^2/SUM(G58:J58))+0.6806)))/(SUM(G58:J58)+2.7225)</f>
        <v>0.88018813951940023</v>
      </c>
      <c r="R58" s="54">
        <f>((SUM(G58,I58)+1.3613)+(1.65*SQRT(SUM(G58,I58)-(SUM(G58,I58)^2/SUM(G58:J58))+0.6806)))/(SUM(G58:J58)+2.7225)</f>
        <v>1.0000011002209452</v>
      </c>
      <c r="S58" s="52">
        <f>G58/SUM(G58:J58)</f>
        <v>1</v>
      </c>
      <c r="T58" s="53">
        <f>((G58+1.3613)-(1.65*SQRT(G58-(G58^2/SUM(G58:J58))+0.6806)))/(SUM(G58:J58)+2.7225)</f>
        <v>0.88018813951940023</v>
      </c>
      <c r="U58" s="54">
        <f>((G58+1.3613)+(1.65*SQRT(G58-(G58^2/SUM(G58:J58))+0.6806)))/(SUM(G58:J58)+2.7225)</f>
        <v>1.0000011002209452</v>
      </c>
      <c r="V58" s="52">
        <f>L58/SUM(L58:M58)</f>
        <v>1</v>
      </c>
      <c r="W58" s="53">
        <f>((L58+1.3613)-(1.65*SQRT(L58-(L58^2/SUM(L58:M58))+0.6806)))/(SUM(L58:M58)+2.7225)</f>
        <v>0.88018813951940023</v>
      </c>
      <c r="X58" s="55">
        <f>((L58+1.3613)+(1.65*SQRT(L58-(L58^2/SUM(L58:M58))+0.6806)))/(SUM(L58:M58)+2.7225)</f>
        <v>1.0000011002209452</v>
      </c>
      <c r="Y58" s="52">
        <f>S58-V58</f>
        <v>0</v>
      </c>
      <c r="Z58" s="53">
        <f>Y58-SQRT((S58-T58)^2+(V58-X58)^2)</f>
        <v>-0.11981186048565139</v>
      </c>
      <c r="AA58" s="54">
        <f>Y58+SQRT((S58-U58)^2+(V58-W58)^2)</f>
        <v>0.11981186048565139</v>
      </c>
      <c r="AB58" s="56" t="s">
        <v>28</v>
      </c>
      <c r="AC58" s="7"/>
      <c r="AD58" s="7"/>
    </row>
    <row r="59" spans="2:30" ht="15.75" customHeight="1" thickBot="1"/>
    <row r="60" spans="2:30" ht="15.75" customHeight="1" thickBot="1">
      <c r="G60" s="105" t="s">
        <v>35</v>
      </c>
      <c r="H60" s="106"/>
      <c r="I60" s="106"/>
      <c r="J60" s="107"/>
      <c r="L60" s="108" t="s">
        <v>2</v>
      </c>
      <c r="M60" s="109"/>
      <c r="P60" s="65" t="s">
        <v>36</v>
      </c>
      <c r="Q60" s="66">
        <f>SUM(G62:G64)/SUM(G62:G64,J62:J64)</f>
        <v>1</v>
      </c>
    </row>
    <row r="61" spans="2:30" ht="15.75" customHeight="1" thickBot="1">
      <c r="G61" s="59" t="s">
        <v>13</v>
      </c>
      <c r="H61" s="60" t="s">
        <v>14</v>
      </c>
      <c r="I61" s="60" t="s">
        <v>15</v>
      </c>
      <c r="J61" s="61" t="s">
        <v>16</v>
      </c>
      <c r="L61" s="59" t="s">
        <v>13</v>
      </c>
      <c r="M61" s="61" t="s">
        <v>14</v>
      </c>
      <c r="P61" s="67" t="s">
        <v>37</v>
      </c>
      <c r="Q61" s="68">
        <f>SUM(H62:H64)/SUM(H62:I64)</f>
        <v>1</v>
      </c>
    </row>
    <row r="62" spans="2:30" ht="15.75" customHeight="1">
      <c r="F62" s="62" t="s">
        <v>25</v>
      </c>
      <c r="G62" s="20">
        <f>SUM(G50,G53,G56)</f>
        <v>0</v>
      </c>
      <c r="H62" s="21">
        <f t="shared" ref="H62:J62" si="9">SUM(H50,H53,H56)</f>
        <v>30</v>
      </c>
      <c r="I62" s="21">
        <f t="shared" si="9"/>
        <v>0</v>
      </c>
      <c r="J62" s="19">
        <f t="shared" si="9"/>
        <v>0</v>
      </c>
      <c r="L62" s="20">
        <f t="shared" ref="L62:M62" si="10">SUM(L50,L53,L56)</f>
        <v>0</v>
      </c>
      <c r="M62" s="19">
        <f t="shared" si="10"/>
        <v>30</v>
      </c>
      <c r="P62" s="67" t="s">
        <v>38</v>
      </c>
      <c r="Q62" s="68">
        <f>1-Q60</f>
        <v>0</v>
      </c>
    </row>
    <row r="63" spans="2:30" ht="15.75" customHeight="1">
      <c r="F63" s="62" t="s">
        <v>27</v>
      </c>
      <c r="G63" s="32">
        <f t="shared" ref="G63:J63" si="11">SUM(G51,G54,G57)</f>
        <v>40</v>
      </c>
      <c r="H63" s="30">
        <f t="shared" si="11"/>
        <v>20</v>
      </c>
      <c r="I63" s="30">
        <f t="shared" si="11"/>
        <v>0</v>
      </c>
      <c r="J63" s="31">
        <f t="shared" si="11"/>
        <v>0</v>
      </c>
      <c r="L63" s="32">
        <f t="shared" ref="L63:M63" si="12">SUM(L51,L54,L57)</f>
        <v>40</v>
      </c>
      <c r="M63" s="31">
        <f t="shared" si="12"/>
        <v>20</v>
      </c>
      <c r="P63" s="67" t="s">
        <v>39</v>
      </c>
      <c r="Q63" s="69">
        <f>1-Q61</f>
        <v>0</v>
      </c>
    </row>
    <row r="64" spans="2:30" ht="15.75" customHeight="1" thickBot="1">
      <c r="F64" s="62" t="s">
        <v>29</v>
      </c>
      <c r="G64" s="51">
        <f t="shared" ref="G64:J64" si="13">SUM(G52,G55,G58)</f>
        <v>60</v>
      </c>
      <c r="H64" s="39">
        <f t="shared" si="13"/>
        <v>0</v>
      </c>
      <c r="I64" s="39">
        <f t="shared" si="13"/>
        <v>0</v>
      </c>
      <c r="J64" s="40">
        <f t="shared" si="13"/>
        <v>0</v>
      </c>
      <c r="L64" s="51">
        <f t="shared" ref="L64:M64" si="14">SUM(L52,L55,L58)</f>
        <v>60</v>
      </c>
      <c r="M64" s="40">
        <f t="shared" si="14"/>
        <v>0</v>
      </c>
      <c r="P64" s="70" t="s">
        <v>40</v>
      </c>
      <c r="Q64" s="71">
        <f>SUM(G62:H64)/SUM(G62:J64)</f>
        <v>1</v>
      </c>
    </row>
    <row r="65" spans="6:17" ht="15.75" customHeight="1">
      <c r="G65" s="7">
        <f>SUM(G62:G64)</f>
        <v>100</v>
      </c>
      <c r="H65" s="7">
        <f>SUM(H62:H64)</f>
        <v>50</v>
      </c>
      <c r="I65" s="7">
        <f>SUM(I62:I64)</f>
        <v>0</v>
      </c>
      <c r="J65" s="7">
        <f>SUM(J62:J64)</f>
        <v>0</v>
      </c>
      <c r="K65" s="7"/>
      <c r="L65" s="7">
        <f>SUM(L62:L64)</f>
        <v>100</v>
      </c>
      <c r="M65" s="7">
        <f>SUM(M62:M64)</f>
        <v>50</v>
      </c>
    </row>
    <row r="69" spans="6:17" ht="15.75" customHeight="1" thickBot="1">
      <c r="G69" s="64" t="s">
        <v>57</v>
      </c>
    </row>
    <row r="70" spans="6:17" ht="15.75" customHeight="1" thickBot="1">
      <c r="G70" s="105" t="s">
        <v>35</v>
      </c>
      <c r="H70" s="106"/>
      <c r="I70" s="106"/>
      <c r="J70" s="107"/>
      <c r="L70" s="108" t="s">
        <v>2</v>
      </c>
      <c r="M70" s="109"/>
      <c r="P70" s="65" t="s">
        <v>36</v>
      </c>
      <c r="Q70" s="66">
        <f>SUM(G72:G74)/SUM(G72:G74,J72:J74)</f>
        <v>0.99626865671641796</v>
      </c>
    </row>
    <row r="71" spans="6:17" ht="15.75" customHeight="1" thickBot="1">
      <c r="G71" s="59" t="s">
        <v>13</v>
      </c>
      <c r="H71" s="60" t="s">
        <v>14</v>
      </c>
      <c r="I71" s="60" t="s">
        <v>15</v>
      </c>
      <c r="J71" s="61" t="s">
        <v>16</v>
      </c>
      <c r="L71" s="59" t="s">
        <v>13</v>
      </c>
      <c r="M71" s="61" t="s">
        <v>14</v>
      </c>
      <c r="P71" s="67" t="s">
        <v>37</v>
      </c>
      <c r="Q71" s="68">
        <f>SUM(H72:H74)/SUM(H72:I74)</f>
        <v>1</v>
      </c>
    </row>
    <row r="72" spans="6:17" ht="15.75" customHeight="1">
      <c r="F72" s="62" t="s">
        <v>25</v>
      </c>
      <c r="G72" s="20">
        <f t="shared" ref="G72:J74" si="15">SUM(G6,G9,G12,G28,G31,G34,G50,G53,G56)</f>
        <v>0</v>
      </c>
      <c r="H72" s="21">
        <f t="shared" si="15"/>
        <v>90</v>
      </c>
      <c r="I72" s="21">
        <f t="shared" si="15"/>
        <v>0</v>
      </c>
      <c r="J72" s="19">
        <f t="shared" si="15"/>
        <v>0</v>
      </c>
      <c r="L72" s="20">
        <f t="shared" ref="L72:M74" si="16">SUM(L6,L9,L12,L28,L31,L34,L50,L53,L56)</f>
        <v>0</v>
      </c>
      <c r="M72" s="19">
        <f t="shared" si="16"/>
        <v>90</v>
      </c>
      <c r="P72" s="67" t="s">
        <v>38</v>
      </c>
      <c r="Q72" s="68">
        <f>1-Q70</f>
        <v>3.7313432835820448E-3</v>
      </c>
    </row>
    <row r="73" spans="6:17" ht="15.75" customHeight="1">
      <c r="F73" s="62" t="s">
        <v>27</v>
      </c>
      <c r="G73" s="32">
        <f t="shared" si="15"/>
        <v>102</v>
      </c>
      <c r="H73" s="30">
        <f t="shared" si="15"/>
        <v>77</v>
      </c>
      <c r="I73" s="30">
        <f t="shared" si="15"/>
        <v>0</v>
      </c>
      <c r="J73" s="31">
        <f t="shared" si="15"/>
        <v>1</v>
      </c>
      <c r="L73" s="32">
        <f t="shared" si="16"/>
        <v>103</v>
      </c>
      <c r="M73" s="31">
        <f t="shared" si="16"/>
        <v>77</v>
      </c>
      <c r="P73" s="67" t="s">
        <v>39</v>
      </c>
      <c r="Q73" s="69">
        <f>1-Q71</f>
        <v>0</v>
      </c>
    </row>
    <row r="74" spans="6:17" ht="15.75" customHeight="1" thickBot="1">
      <c r="F74" s="62" t="s">
        <v>29</v>
      </c>
      <c r="G74" s="51">
        <f t="shared" si="15"/>
        <v>165</v>
      </c>
      <c r="H74" s="39">
        <f t="shared" si="15"/>
        <v>15</v>
      </c>
      <c r="I74" s="39">
        <f t="shared" si="15"/>
        <v>0</v>
      </c>
      <c r="J74" s="40">
        <f t="shared" si="15"/>
        <v>0</v>
      </c>
      <c r="L74" s="51">
        <f t="shared" si="16"/>
        <v>165</v>
      </c>
      <c r="M74" s="40">
        <f t="shared" si="16"/>
        <v>15</v>
      </c>
      <c r="P74" s="70" t="s">
        <v>40</v>
      </c>
      <c r="Q74" s="71">
        <f>SUM(G72:H74)/SUM(G72:J74)</f>
        <v>0.99777777777777776</v>
      </c>
    </row>
    <row r="75" spans="6:17" ht="15.75" customHeight="1">
      <c r="G75" s="7">
        <f>SUM(G72:G74)</f>
        <v>267</v>
      </c>
      <c r="H75" s="7">
        <f>SUM(H72:H74)</f>
        <v>182</v>
      </c>
      <c r="I75" s="7">
        <f>SUM(I72:I74)</f>
        <v>0</v>
      </c>
      <c r="J75" s="7">
        <f>SUM(J72:J74)</f>
        <v>1</v>
      </c>
      <c r="K75" s="7"/>
      <c r="L75" s="7">
        <f>SUM(L72:L74)</f>
        <v>268</v>
      </c>
      <c r="M75" s="7">
        <f>SUM(M72:M74)</f>
        <v>182</v>
      </c>
    </row>
  </sheetData>
  <mergeCells count="50">
    <mergeCell ref="Y48:AA48"/>
    <mergeCell ref="AB48:AB49"/>
    <mergeCell ref="G16:J16"/>
    <mergeCell ref="L16:M16"/>
    <mergeCell ref="G38:J38"/>
    <mergeCell ref="L38:M38"/>
    <mergeCell ref="G48:J48"/>
    <mergeCell ref="L48:M48"/>
    <mergeCell ref="Y26:AA26"/>
    <mergeCell ref="AB26:AB27"/>
    <mergeCell ref="G26:J26"/>
    <mergeCell ref="L26:M26"/>
    <mergeCell ref="V26:X26"/>
    <mergeCell ref="P48:R48"/>
    <mergeCell ref="S48:U48"/>
    <mergeCell ref="V48:X48"/>
    <mergeCell ref="B50:B58"/>
    <mergeCell ref="C50:C52"/>
    <mergeCell ref="D50:D52"/>
    <mergeCell ref="C53:C55"/>
    <mergeCell ref="D53:D55"/>
    <mergeCell ref="C56:C58"/>
    <mergeCell ref="D56:D58"/>
    <mergeCell ref="B28:B36"/>
    <mergeCell ref="C28:C30"/>
    <mergeCell ref="D28:D30"/>
    <mergeCell ref="C31:C33"/>
    <mergeCell ref="D31:D33"/>
    <mergeCell ref="C34:C36"/>
    <mergeCell ref="D34:D36"/>
    <mergeCell ref="P26:R26"/>
    <mergeCell ref="S26:U26"/>
    <mergeCell ref="G70:J70"/>
    <mergeCell ref="L70:M70"/>
    <mergeCell ref="G60:J60"/>
    <mergeCell ref="L60:M60"/>
    <mergeCell ref="V4:X4"/>
    <mergeCell ref="Y4:AA4"/>
    <mergeCell ref="AB4:AB5"/>
    <mergeCell ref="G4:J4"/>
    <mergeCell ref="P4:R4"/>
    <mergeCell ref="S4:U4"/>
    <mergeCell ref="L4:M4"/>
    <mergeCell ref="B6:B14"/>
    <mergeCell ref="C6:C8"/>
    <mergeCell ref="D6:D8"/>
    <mergeCell ref="C9:C11"/>
    <mergeCell ref="D9:D11"/>
    <mergeCell ref="C12:C14"/>
    <mergeCell ref="D12:D14"/>
  </mergeCells>
  <phoneticPr fontId="0" type="noConversion"/>
  <conditionalFormatting sqref="E7:J8 E10:J11 E14:E24">
    <cfRule type="expression" dxfId="57" priority="16" stopIfTrue="1">
      <formula>#REF!="Fail"</formula>
    </cfRule>
  </conditionalFormatting>
  <conditionalFormatting sqref="E29:J30 E32:J33 E36:E46">
    <cfRule type="expression" dxfId="56" priority="20" stopIfTrue="1">
      <formula>#REF!="Fail"</formula>
    </cfRule>
  </conditionalFormatting>
  <conditionalFormatting sqref="E51:J52 E54:J55 E58">
    <cfRule type="expression" dxfId="55" priority="30" stopIfTrue="1">
      <formula>#REF!="Fail"</formula>
    </cfRule>
  </conditionalFormatting>
  <conditionalFormatting sqref="F6:J6">
    <cfRule type="expression" dxfId="54" priority="15" stopIfTrue="1">
      <formula>#REF!="Fail"</formula>
    </cfRule>
  </conditionalFormatting>
  <conditionalFormatting sqref="F9:J9">
    <cfRule type="expression" dxfId="53" priority="14" stopIfTrue="1">
      <formula>#REF!="Fail"</formula>
    </cfRule>
  </conditionalFormatting>
  <conditionalFormatting sqref="F12:J15">
    <cfRule type="expression" dxfId="52" priority="13" stopIfTrue="1">
      <formula>#REF!="Fail"</formula>
    </cfRule>
  </conditionalFormatting>
  <conditionalFormatting sqref="F28:J28">
    <cfRule type="expression" dxfId="51" priority="19" stopIfTrue="1">
      <formula>#REF!="Fail"</formula>
    </cfRule>
  </conditionalFormatting>
  <conditionalFormatting sqref="F31:J31">
    <cfRule type="expression" dxfId="50" priority="18" stopIfTrue="1">
      <formula>#REF!="Fail"</formula>
    </cfRule>
  </conditionalFormatting>
  <conditionalFormatting sqref="F34:J37">
    <cfRule type="expression" dxfId="49" priority="17" stopIfTrue="1">
      <formula>#REF!="Fail"</formula>
    </cfRule>
  </conditionalFormatting>
  <conditionalFormatting sqref="F50:J50">
    <cfRule type="expression" dxfId="48" priority="23" stopIfTrue="1">
      <formula>#REF!="Fail"</formula>
    </cfRule>
  </conditionalFormatting>
  <conditionalFormatting sqref="F53:J53">
    <cfRule type="expression" dxfId="47" priority="22" stopIfTrue="1">
      <formula>#REF!="Fail"</formula>
    </cfRule>
  </conditionalFormatting>
  <conditionalFormatting sqref="F56:J58">
    <cfRule type="expression" dxfId="46" priority="21" stopIfTrue="1">
      <formula>#REF!="Fail"</formula>
    </cfRule>
  </conditionalFormatting>
  <conditionalFormatting sqref="F62:J64">
    <cfRule type="expression" dxfId="45" priority="1" stopIfTrue="1">
      <formula>#REF!="Fail"</formula>
    </cfRule>
  </conditionalFormatting>
  <conditionalFormatting sqref="G18:J20">
    <cfRule type="expression" dxfId="44" priority="7" stopIfTrue="1">
      <formula>#REF!="Fail"</formula>
    </cfRule>
  </conditionalFormatting>
  <conditionalFormatting sqref="G40:J42">
    <cfRule type="expression" dxfId="43" priority="5" stopIfTrue="1">
      <formula>#REF!="Fail"</formula>
    </cfRule>
  </conditionalFormatting>
  <conditionalFormatting sqref="G72:J74">
    <cfRule type="expression" dxfId="42" priority="11" stopIfTrue="1">
      <formula>#REF!="Fail"</formula>
    </cfRule>
  </conditionalFormatting>
  <conditionalFormatting sqref="L6:M15 F16:F24 L18:M20 L28:M37 F38:F46 L40:M42 L50:M58 L72:M74">
    <cfRule type="expression" dxfId="41" priority="32" stopIfTrue="1">
      <formula>#REF!="Fail"</formula>
    </cfRule>
  </conditionalFormatting>
  <conditionalFormatting sqref="L62:M64">
    <cfRule type="expression" dxfId="40" priority="4" stopIfTrue="1">
      <formula>#REF!="Fail"</formula>
    </cfRule>
  </conditionalFormatting>
  <pageMargins left="0.78740157499999996" right="0.78740157499999996" top="0.984251969" bottom="0.984251969" header="0.4921259845" footer="0.4921259845"/>
  <pageSetup orientation="portrait" r:id="rId1"/>
  <headerFooter alignWithMargins="0">
    <oddHeader>&amp;R&amp;"Calibri"&amp;12&amp;K000000 Unclassified / Non classifié&amp;1#_x000D_</oddHeader>
  </headerFooter>
  <ignoredErrors>
    <ignoredError sqref="Q7" evalError="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F1433-66EF-4E83-983A-29B5485BE4FB}">
  <sheetPr>
    <pageSetUpPr fitToPage="1"/>
  </sheetPr>
  <dimension ref="B2:AD75"/>
  <sheetViews>
    <sheetView topLeftCell="A51" workbookViewId="0">
      <selection activeCell="A54" sqref="A54"/>
    </sheetView>
  </sheetViews>
  <sheetFormatPr defaultColWidth="11.42578125" defaultRowHeight="15.75" customHeight="1"/>
  <cols>
    <col min="1" max="1" width="13" style="1" customWidth="1"/>
    <col min="2" max="2" width="12.85546875" style="1" customWidth="1"/>
    <col min="3" max="3" width="15.7109375" style="1" customWidth="1"/>
    <col min="4" max="4" width="13.5703125" style="2" customWidth="1"/>
    <col min="5" max="5" width="16" style="1" customWidth="1"/>
    <col min="6" max="10" width="11.42578125" style="1"/>
    <col min="11" max="11" width="4" style="1" customWidth="1"/>
    <col min="12" max="13" width="11.42578125" style="1"/>
    <col min="14" max="14" width="4" style="1" bestFit="1" customWidth="1"/>
    <col min="15" max="15" width="3.42578125" style="1" customWidth="1"/>
    <col min="16" max="27" width="11.42578125" style="1"/>
    <col min="28" max="28" width="11.42578125" style="3"/>
    <col min="29" max="16384" width="11.42578125" style="1"/>
  </cols>
  <sheetData>
    <row r="2" spans="2:30" ht="24">
      <c r="B2" s="72" t="s">
        <v>58</v>
      </c>
    </row>
    <row r="3" spans="2:30" ht="15.75" customHeight="1" thickBot="1"/>
    <row r="4" spans="2:30" ht="15.75" customHeight="1" thickBot="1">
      <c r="B4" s="4"/>
      <c r="C4" s="4"/>
      <c r="D4" s="4"/>
      <c r="E4" s="4"/>
      <c r="F4" s="4"/>
      <c r="G4" s="96" t="s">
        <v>59</v>
      </c>
      <c r="H4" s="97"/>
      <c r="I4" s="97"/>
      <c r="J4" s="98"/>
      <c r="K4" s="6"/>
      <c r="L4" s="96" t="s">
        <v>2</v>
      </c>
      <c r="M4" s="99"/>
      <c r="N4" s="7"/>
      <c r="O4" s="7"/>
      <c r="P4" s="100" t="s">
        <v>3</v>
      </c>
      <c r="Q4" s="101"/>
      <c r="R4" s="102"/>
      <c r="S4" s="103" t="s">
        <v>4</v>
      </c>
      <c r="T4" s="101"/>
      <c r="U4" s="104"/>
      <c r="V4" s="100" t="s">
        <v>5</v>
      </c>
      <c r="W4" s="101"/>
      <c r="X4" s="102"/>
      <c r="Y4" s="103" t="s">
        <v>6</v>
      </c>
      <c r="Z4" s="101"/>
      <c r="AA4" s="104"/>
      <c r="AB4" s="80" t="s">
        <v>7</v>
      </c>
      <c r="AC4" s="7"/>
      <c r="AD4" s="7"/>
    </row>
    <row r="5" spans="2:30" ht="15.75" customHeight="1" thickBot="1">
      <c r="B5" s="5" t="s">
        <v>8</v>
      </c>
      <c r="C5" s="8" t="s">
        <v>9</v>
      </c>
      <c r="D5" s="9" t="s">
        <v>10</v>
      </c>
      <c r="E5" s="9" t="s">
        <v>11</v>
      </c>
      <c r="F5" s="10" t="s">
        <v>12</v>
      </c>
      <c r="G5" s="8" t="s">
        <v>13</v>
      </c>
      <c r="H5" s="9" t="s">
        <v>14</v>
      </c>
      <c r="I5" s="9" t="s">
        <v>15</v>
      </c>
      <c r="J5" s="11" t="s">
        <v>16</v>
      </c>
      <c r="L5" s="8" t="s">
        <v>13</v>
      </c>
      <c r="M5" s="11" t="s">
        <v>14</v>
      </c>
      <c r="N5" s="12"/>
      <c r="O5" s="12"/>
      <c r="P5" s="13" t="s">
        <v>17</v>
      </c>
      <c r="Q5" s="14" t="s">
        <v>18</v>
      </c>
      <c r="R5" s="15" t="s">
        <v>19</v>
      </c>
      <c r="S5" s="16" t="s">
        <v>17</v>
      </c>
      <c r="T5" s="14" t="s">
        <v>18</v>
      </c>
      <c r="U5" s="17" t="s">
        <v>19</v>
      </c>
      <c r="V5" s="13" t="s">
        <v>17</v>
      </c>
      <c r="W5" s="14" t="s">
        <v>18</v>
      </c>
      <c r="X5" s="15" t="s">
        <v>19</v>
      </c>
      <c r="Y5" s="16" t="s">
        <v>20</v>
      </c>
      <c r="Z5" s="14" t="s">
        <v>18</v>
      </c>
      <c r="AA5" s="17" t="s">
        <v>19</v>
      </c>
      <c r="AB5" s="81"/>
      <c r="AC5" s="12"/>
      <c r="AD5" s="12"/>
    </row>
    <row r="6" spans="2:30" ht="15.75" customHeight="1">
      <c r="B6" s="82" t="s">
        <v>21</v>
      </c>
      <c r="C6" s="86" t="s">
        <v>22</v>
      </c>
      <c r="D6" s="89" t="s">
        <v>23</v>
      </c>
      <c r="E6" s="18" t="s">
        <v>24</v>
      </c>
      <c r="F6" s="19" t="s">
        <v>25</v>
      </c>
      <c r="G6" s="20">
        <v>0</v>
      </c>
      <c r="H6" s="21">
        <v>10</v>
      </c>
      <c r="I6" s="21">
        <v>0</v>
      </c>
      <c r="J6" s="19">
        <v>0</v>
      </c>
      <c r="L6" s="22">
        <v>0</v>
      </c>
      <c r="M6" s="23">
        <v>10</v>
      </c>
      <c r="N6" s="7"/>
      <c r="O6" s="7"/>
      <c r="P6" s="24" t="s">
        <v>26</v>
      </c>
      <c r="Q6" s="25" t="s">
        <v>26</v>
      </c>
      <c r="R6" s="26" t="s">
        <v>26</v>
      </c>
      <c r="S6" s="27" t="s">
        <v>26</v>
      </c>
      <c r="T6" s="25" t="s">
        <v>26</v>
      </c>
      <c r="U6" s="26" t="s">
        <v>26</v>
      </c>
      <c r="V6" s="27" t="s">
        <v>26</v>
      </c>
      <c r="W6" s="25" t="s">
        <v>26</v>
      </c>
      <c r="X6" s="28" t="s">
        <v>26</v>
      </c>
      <c r="Y6" s="27" t="s">
        <v>26</v>
      </c>
      <c r="Z6" s="25" t="s">
        <v>26</v>
      </c>
      <c r="AA6" s="26" t="s">
        <v>26</v>
      </c>
      <c r="AB6" s="77" t="s">
        <v>24</v>
      </c>
      <c r="AC6" s="7"/>
      <c r="AD6" s="7"/>
    </row>
    <row r="7" spans="2:30" ht="15.75" customHeight="1">
      <c r="B7" s="83"/>
      <c r="C7" s="87"/>
      <c r="D7" s="90"/>
      <c r="E7" s="30" t="s">
        <v>24</v>
      </c>
      <c r="F7" s="31" t="s">
        <v>27</v>
      </c>
      <c r="G7" s="32">
        <v>10</v>
      </c>
      <c r="H7" s="30">
        <v>10</v>
      </c>
      <c r="I7" s="30">
        <v>0</v>
      </c>
      <c r="J7" s="31">
        <v>0</v>
      </c>
      <c r="L7" s="32">
        <v>10</v>
      </c>
      <c r="M7" s="31">
        <v>10</v>
      </c>
      <c r="N7" s="7"/>
      <c r="O7" s="7"/>
      <c r="P7" s="33">
        <f>SUM(G7,I7)/SUM(G7:J7)</f>
        <v>0.5</v>
      </c>
      <c r="Q7" s="34">
        <f>((SUM(G7,I7)+1.3613)-(1.65*SQRT(SUM(G7,I7)-(SUM(G7,I7)^2/SUM(G7:J7))+0.6806)))/(SUM(G7:J7)+2.7225)</f>
        <v>0.32693094787634341</v>
      </c>
      <c r="R7" s="35">
        <f>((SUM(G7,I7)+1.3613)+(1.65*SQRT(SUM(G7,I7)-(SUM(G7,I7)^2/SUM(G7:J7))+0.6806)))/(SUM(G7:J7)+2.7225)</f>
        <v>0.6730734530478506</v>
      </c>
      <c r="S7" s="33">
        <f>G7/SUM(G7:J7)</f>
        <v>0.5</v>
      </c>
      <c r="T7" s="34">
        <f>((G7+1.3613)-(1.65*SQRT(G7-(G7^2/SUM(G7:J7))+0.6806)))/(SUM(G7:J7)+2.7225)</f>
        <v>0.32693094787634341</v>
      </c>
      <c r="U7" s="35">
        <f>((G7+1.3613)+(1.65*SQRT(G7-(G7^2/SUM(G7:J7))+0.6806)))/(SUM(G7:J7)+2.7225)</f>
        <v>0.6730734530478506</v>
      </c>
      <c r="V7" s="33">
        <f>L7/SUM(L7:M7)</f>
        <v>0.5</v>
      </c>
      <c r="W7" s="34">
        <f>((L7+1.3613)-(1.65*SQRT(L7-(L7^2/SUM(L7:M7))+0.6806)))/(SUM(L7:M7)+2.7225)</f>
        <v>0.32693094787634341</v>
      </c>
      <c r="X7" s="36">
        <f>((L7+1.3613)+(1.65*SQRT(L7-(L7^2/SUM(L7:M7))+0.6806)))/(SUM(L7:M7)+2.7225)</f>
        <v>0.6730734530478506</v>
      </c>
      <c r="Y7" s="33">
        <f>S7-V7</f>
        <v>0</v>
      </c>
      <c r="Z7" s="34">
        <f>Y7-SQRT((S7-T7)^2+(V7-X7)^2)</f>
        <v>-0.24475971268345514</v>
      </c>
      <c r="AA7" s="35">
        <f>Y7+SQRT((S7-U7)^2+(V7-W7)^2)</f>
        <v>0.24475971268345514</v>
      </c>
      <c r="AB7" s="78" t="s">
        <v>28</v>
      </c>
      <c r="AC7" s="38"/>
      <c r="AD7" s="7"/>
    </row>
    <row r="8" spans="2:30" ht="15.75" customHeight="1" thickBot="1">
      <c r="B8" s="83"/>
      <c r="C8" s="88"/>
      <c r="D8" s="91"/>
      <c r="E8" s="39" t="s">
        <v>24</v>
      </c>
      <c r="F8" s="40" t="s">
        <v>29</v>
      </c>
      <c r="G8" s="32">
        <v>14</v>
      </c>
      <c r="H8" s="30">
        <v>6</v>
      </c>
      <c r="I8" s="30">
        <v>0</v>
      </c>
      <c r="J8" s="31">
        <v>0</v>
      </c>
      <c r="L8" s="32">
        <v>14</v>
      </c>
      <c r="M8" s="31">
        <v>6</v>
      </c>
      <c r="N8" s="7"/>
      <c r="O8" s="7"/>
      <c r="P8" s="33">
        <f>SUM(G8,I8)/SUM(G8:J8)</f>
        <v>0.7</v>
      </c>
      <c r="Q8" s="34">
        <f>((SUM(G8,I8)+1.3613)-(1.65*SQRT(SUM(G8,I8)-(SUM(G8,I8)^2/SUM(G8:J8))+0.6806)))/(SUM(G8:J8)+2.7225)</f>
        <v>0.51561697855622868</v>
      </c>
      <c r="R8" s="35">
        <f>((SUM(G8,I8)+1.3613)+(1.65*SQRT(SUM(G8,I8)-(SUM(G8,I8)^2/SUM(G8:J8))+0.6806)))/(SUM(G8:J8)+2.7225)</f>
        <v>0.83646135789442599</v>
      </c>
      <c r="S8" s="33">
        <f>G8/SUM(G8:J8)</f>
        <v>0.7</v>
      </c>
      <c r="T8" s="34">
        <f>((G8+1.3613)-(1.65*SQRT(G8-(G8^2/SUM(G8:J8))+0.6806)))/(SUM(G8:J8)+2.7225)</f>
        <v>0.51561697855622868</v>
      </c>
      <c r="U8" s="35">
        <f>((G8+1.3613)+(1.65*SQRT(G8-(G8^2/SUM(G8:J8))+0.6806)))/(SUM(G8:J8)+2.7225)</f>
        <v>0.83646135789442599</v>
      </c>
      <c r="V8" s="33">
        <f>L8/SUM(L8:M8)</f>
        <v>0.7</v>
      </c>
      <c r="W8" s="34">
        <f>((L8+1.3613)-(1.65*SQRT(L8-(L8^2/SUM(L8:M8))+0.6806)))/(SUM(L8:M8)+2.7225)</f>
        <v>0.51561697855622868</v>
      </c>
      <c r="X8" s="36">
        <f>((L8+1.3613)+(1.65*SQRT(L8-(L8^2/SUM(L8:M8))+0.6806)))/(SUM(L8:M8)+2.7225)</f>
        <v>0.83646135789442599</v>
      </c>
      <c r="Y8" s="33">
        <f>S8-V8</f>
        <v>0</v>
      </c>
      <c r="Z8" s="34">
        <f>Y8-SQRT((S8-T8)^2+(V8-X8)^2)</f>
        <v>-0.2293878828428495</v>
      </c>
      <c r="AA8" s="35">
        <f>Y8+SQRT((S8-U8)^2+(V8-W8)^2)</f>
        <v>0.2293878828428495</v>
      </c>
      <c r="AB8" s="78" t="s">
        <v>28</v>
      </c>
      <c r="AC8" s="7"/>
      <c r="AD8" s="7"/>
    </row>
    <row r="9" spans="2:30" ht="15.75" customHeight="1">
      <c r="B9" s="83"/>
      <c r="C9" s="92" t="s">
        <v>30</v>
      </c>
      <c r="D9" s="93" t="s">
        <v>31</v>
      </c>
      <c r="E9" s="41" t="s">
        <v>24</v>
      </c>
      <c r="F9" s="23" t="s">
        <v>25</v>
      </c>
      <c r="G9" s="22">
        <v>0</v>
      </c>
      <c r="H9" s="42">
        <v>10</v>
      </c>
      <c r="I9" s="42">
        <v>0</v>
      </c>
      <c r="J9" s="23">
        <v>0</v>
      </c>
      <c r="L9" s="22">
        <v>0</v>
      </c>
      <c r="M9" s="23">
        <v>10</v>
      </c>
      <c r="N9" s="7"/>
      <c r="O9" s="7"/>
      <c r="P9" s="33" t="s">
        <v>26</v>
      </c>
      <c r="Q9" s="34" t="s">
        <v>26</v>
      </c>
      <c r="R9" s="35" t="s">
        <v>26</v>
      </c>
      <c r="S9" s="33" t="s">
        <v>26</v>
      </c>
      <c r="T9" s="34" t="s">
        <v>26</v>
      </c>
      <c r="U9" s="35" t="s">
        <v>26</v>
      </c>
      <c r="V9" s="33" t="s">
        <v>26</v>
      </c>
      <c r="W9" s="34" t="s">
        <v>26</v>
      </c>
      <c r="X9" s="36" t="s">
        <v>26</v>
      </c>
      <c r="Y9" s="33" t="s">
        <v>26</v>
      </c>
      <c r="Z9" s="34" t="s">
        <v>26</v>
      </c>
      <c r="AA9" s="35" t="s">
        <v>26</v>
      </c>
      <c r="AB9" s="78" t="s">
        <v>24</v>
      </c>
      <c r="AC9" s="7"/>
      <c r="AD9" s="7"/>
    </row>
    <row r="10" spans="2:30" ht="15.75" customHeight="1">
      <c r="B10" s="83"/>
      <c r="C10" s="87"/>
      <c r="D10" s="90"/>
      <c r="E10" s="30" t="s">
        <v>24</v>
      </c>
      <c r="F10" s="31" t="s">
        <v>27</v>
      </c>
      <c r="G10" s="32">
        <v>7</v>
      </c>
      <c r="H10" s="30">
        <v>12</v>
      </c>
      <c r="I10" s="30">
        <v>0</v>
      </c>
      <c r="J10" s="73">
        <v>1</v>
      </c>
      <c r="L10" s="32">
        <v>8</v>
      </c>
      <c r="M10" s="31">
        <v>12</v>
      </c>
      <c r="N10" s="7"/>
      <c r="O10" s="7"/>
      <c r="P10" s="33">
        <f>SUM(G10,I10)/SUM(G10:J10)</f>
        <v>0.35</v>
      </c>
      <c r="Q10" s="34">
        <f>((SUM(G10,I10)+1.3613)-(1.65*SQRT(SUM(G10,I10)-(SUM(G10,I10)^2/SUM(G10:J10))+0.6806)))/(SUM(G10:J10)+2.7225)</f>
        <v>0.20189973247796225</v>
      </c>
      <c r="R10" s="35">
        <f>((SUM(G10,I10)+1.3613)+(1.65*SQRT(SUM(G10,I10)-(SUM(G10,I10)^2/SUM(G10:J10))+0.6806)))/(SUM(G10:J10)+2.7225)</f>
        <v>0.53404921680138639</v>
      </c>
      <c r="S10" s="33">
        <f>G10/SUM(G10:J10)</f>
        <v>0.35</v>
      </c>
      <c r="T10" s="34">
        <f>((G10+1.3613)-(1.65*SQRT(G10-(G10^2/SUM(G10:J10))+0.6806)))/(SUM(G10:J10)+2.7225)</f>
        <v>0.20189973247796225</v>
      </c>
      <c r="U10" s="35">
        <f>((G10+1.3613)+(1.65*SQRT(G10-(G10^2/SUM(G10:J10))+0.6806)))/(SUM(G10:J10)+2.7225)</f>
        <v>0.53404921680138639</v>
      </c>
      <c r="V10" s="33">
        <f>L10/SUM(L10:M10)</f>
        <v>0.4</v>
      </c>
      <c r="W10" s="34">
        <f>((L10+1.3613)-(1.65*SQRT(L10-(L10^2/SUM(L10:M10))+0.6806)))/(SUM(L10:M10)+2.7225)</f>
        <v>0.24198647075497337</v>
      </c>
      <c r="X10" s="36">
        <f>((L10+1.3613)+(1.65*SQRT(L10-(L10^2/SUM(L10:M10))+0.6806)))/(SUM(L10:M10)+2.7225)</f>
        <v>0.5819809624059904</v>
      </c>
      <c r="Y10" s="33">
        <f>S10-V10</f>
        <v>-5.0000000000000044E-2</v>
      </c>
      <c r="Z10" s="34">
        <f>Y10-SQRT((S10-T10)^2+(V10-X10)^2)</f>
        <v>-0.28462898354276189</v>
      </c>
      <c r="AA10" s="35">
        <f>Y10+SQRT((S10-U10)^2+(V10-W10)^2)</f>
        <v>0.19257450325554129</v>
      </c>
      <c r="AB10" s="78" t="s">
        <v>28</v>
      </c>
      <c r="AC10" s="7"/>
      <c r="AD10" s="7"/>
    </row>
    <row r="11" spans="2:30" ht="15.75" customHeight="1" thickBot="1">
      <c r="B11" s="83"/>
      <c r="C11" s="88"/>
      <c r="D11" s="91"/>
      <c r="E11" s="39" t="s">
        <v>24</v>
      </c>
      <c r="F11" s="40" t="s">
        <v>29</v>
      </c>
      <c r="G11" s="32">
        <v>20</v>
      </c>
      <c r="H11" s="30">
        <v>0</v>
      </c>
      <c r="I11" s="30">
        <v>0</v>
      </c>
      <c r="J11" s="31">
        <v>0</v>
      </c>
      <c r="L11" s="32">
        <v>20</v>
      </c>
      <c r="M11" s="31">
        <v>0</v>
      </c>
      <c r="N11" s="7"/>
      <c r="O11" s="7"/>
      <c r="P11" s="33">
        <f>SUM(G11,I11)/SUM(G11:J11)</f>
        <v>1</v>
      </c>
      <c r="Q11" s="34">
        <f>((SUM(G11,I11)+1.3613)-(1.65*SQRT(SUM(G11,I11)-(SUM(G11,I11)^2/SUM(G11:J11))+0.6806)))/(SUM(G11:J11)+2.7225)</f>
        <v>0.88018813951940023</v>
      </c>
      <c r="R11" s="35">
        <f>((SUM(G11,I11)+1.3613)+(1.65*SQRT(SUM(G11,I11)-(SUM(G11,I11)^2/SUM(G11:J11))+0.6806)))/(SUM(G11:J11)+2.7225)</f>
        <v>1.0000011002209452</v>
      </c>
      <c r="S11" s="33">
        <f>G11/SUM(G11:J11)</f>
        <v>1</v>
      </c>
      <c r="T11" s="34">
        <f>((G11+1.3613)-(1.65*SQRT(G11-(G11^2/SUM(G11:J11))+0.6806)))/(SUM(G11:J11)+2.7225)</f>
        <v>0.88018813951940023</v>
      </c>
      <c r="U11" s="35">
        <f>((G11+1.3613)+(1.65*SQRT(G11-(G11^2/SUM(G11:J11))+0.6806)))/(SUM(G11:J11)+2.7225)</f>
        <v>1.0000011002209452</v>
      </c>
      <c r="V11" s="33">
        <f>L11/SUM(L11:M11)</f>
        <v>1</v>
      </c>
      <c r="W11" s="34">
        <f>((L11+1.3613)-(1.65*SQRT(L11-(L11^2/SUM(L11:M11))+0.6806)))/(SUM(L11:M11)+2.7225)</f>
        <v>0.88018813951940023</v>
      </c>
      <c r="X11" s="36">
        <f>((L11+1.3613)+(1.65*SQRT(L11-(L11^2/SUM(L11:M11))+0.6806)))/(SUM(L11:M11)+2.7225)</f>
        <v>1.0000011002209452</v>
      </c>
      <c r="Y11" s="33">
        <f>S11-V11</f>
        <v>0</v>
      </c>
      <c r="Z11" s="34">
        <f>Y11-SQRT((S11-T11)^2+(V11-X11)^2)</f>
        <v>-0.11981186048565139</v>
      </c>
      <c r="AA11" s="35">
        <f>Y11+SQRT((S11-U11)^2+(V11-W11)^2)</f>
        <v>0.11981186048565139</v>
      </c>
      <c r="AB11" s="78" t="s">
        <v>28</v>
      </c>
      <c r="AC11" s="7"/>
      <c r="AD11" s="7"/>
    </row>
    <row r="12" spans="2:30" ht="15.75" customHeight="1">
      <c r="B12" s="83"/>
      <c r="C12" s="92" t="s">
        <v>32</v>
      </c>
      <c r="D12" s="93" t="s">
        <v>33</v>
      </c>
      <c r="E12" s="41" t="s">
        <v>34</v>
      </c>
      <c r="F12" s="23" t="s">
        <v>25</v>
      </c>
      <c r="G12" s="22">
        <v>0</v>
      </c>
      <c r="H12" s="42">
        <v>10</v>
      </c>
      <c r="I12" s="42">
        <v>0</v>
      </c>
      <c r="J12" s="23">
        <v>0</v>
      </c>
      <c r="L12" s="22">
        <v>0</v>
      </c>
      <c r="M12" s="23">
        <v>10</v>
      </c>
      <c r="N12" s="7"/>
      <c r="O12" s="7"/>
      <c r="P12" s="33" t="s">
        <v>26</v>
      </c>
      <c r="Q12" s="34" t="s">
        <v>26</v>
      </c>
      <c r="R12" s="35" t="s">
        <v>26</v>
      </c>
      <c r="S12" s="33" t="s">
        <v>26</v>
      </c>
      <c r="T12" s="34" t="s">
        <v>26</v>
      </c>
      <c r="U12" s="35" t="s">
        <v>26</v>
      </c>
      <c r="V12" s="33" t="s">
        <v>26</v>
      </c>
      <c r="W12" s="34" t="s">
        <v>26</v>
      </c>
      <c r="X12" s="36" t="s">
        <v>26</v>
      </c>
      <c r="Y12" s="33" t="s">
        <v>26</v>
      </c>
      <c r="Z12" s="34" t="s">
        <v>26</v>
      </c>
      <c r="AA12" s="35" t="s">
        <v>26</v>
      </c>
      <c r="AB12" s="78" t="s">
        <v>24</v>
      </c>
      <c r="AC12" s="7"/>
      <c r="AD12" s="7"/>
    </row>
    <row r="13" spans="2:30" ht="15.75" customHeight="1">
      <c r="B13" s="84"/>
      <c r="C13" s="94"/>
      <c r="D13" s="95"/>
      <c r="E13" s="43" t="s">
        <v>34</v>
      </c>
      <c r="F13" s="44" t="s">
        <v>27</v>
      </c>
      <c r="G13" s="45">
        <v>13</v>
      </c>
      <c r="H13" s="46">
        <v>4</v>
      </c>
      <c r="I13" s="46">
        <v>0</v>
      </c>
      <c r="J13" s="74">
        <v>3</v>
      </c>
      <c r="L13" s="45">
        <v>16</v>
      </c>
      <c r="M13" s="44">
        <v>4</v>
      </c>
      <c r="N13" s="7"/>
      <c r="O13" s="7"/>
      <c r="P13" s="47">
        <f>SUM(G13,I13)/SUM(G13:J13)</f>
        <v>0.65</v>
      </c>
      <c r="Q13" s="48">
        <f>((SUM(G13,I13)+1.3613)-(1.65*SQRT(SUM(G13,I13)-(SUM(G13,I13)^2/SUM(G13:J13))+0.6806)))/(SUM(G13:J13)+2.7225)</f>
        <v>0.46595518412280768</v>
      </c>
      <c r="R13" s="49">
        <f>((SUM(G13,I13)+1.3613)+(1.65*SQRT(SUM(G13,I13)-(SUM(G13,I13)^2/SUM(G13:J13))+0.6806)))/(SUM(G13:J13)+2.7225)</f>
        <v>0.79810466844623185</v>
      </c>
      <c r="S13" s="47">
        <f>G13/SUM(G13:J13)</f>
        <v>0.65</v>
      </c>
      <c r="T13" s="48">
        <f>((G13+1.3613)-(1.65*SQRT(G13-(G13^2/SUM(G13:J13))+0.6806)))/(SUM(G13:J13)+2.7225)</f>
        <v>0.46595518412280768</v>
      </c>
      <c r="U13" s="49">
        <f>((G13+1.3613)+(1.65*SQRT(G13-(G13^2/SUM(G13:J13))+0.6806)))/(SUM(G13:J13)+2.7225)</f>
        <v>0.79810466844623185</v>
      </c>
      <c r="V13" s="47">
        <f>L13/SUM(L13:M13)</f>
        <v>0.8</v>
      </c>
      <c r="W13" s="48">
        <f>((L13+1.3613)-(1.65*SQRT(L13-(L13^2/SUM(L13:M13))+0.6806)))/(SUM(L13:M13)+2.7225)</f>
        <v>0.62101114036509186</v>
      </c>
      <c r="X13" s="50">
        <f>((L13+1.3613)+(1.65*SQRT(L13-(L13^2/SUM(L13:M13))+0.6806)))/(SUM(L13:M13)+2.7225)</f>
        <v>0.907104163848793</v>
      </c>
      <c r="Y13" s="47">
        <f>S13-V13</f>
        <v>-0.15000000000000002</v>
      </c>
      <c r="Z13" s="48">
        <f>Y13-SQRT((S13-T13)^2+(V13-X13)^2)</f>
        <v>-0.362940827849003</v>
      </c>
      <c r="AA13" s="49">
        <f>Y13+SQRT((S13-U13)^2+(V13-W13)^2)</f>
        <v>8.2318756644772673E-2</v>
      </c>
      <c r="AB13" s="78" t="s">
        <v>28</v>
      </c>
      <c r="AC13" s="7"/>
      <c r="AD13" s="7"/>
    </row>
    <row r="14" spans="2:30" ht="15.75" customHeight="1" thickBot="1">
      <c r="B14" s="85"/>
      <c r="C14" s="88"/>
      <c r="D14" s="91"/>
      <c r="E14" s="39" t="s">
        <v>34</v>
      </c>
      <c r="F14" s="40" t="s">
        <v>29</v>
      </c>
      <c r="G14" s="51">
        <v>16</v>
      </c>
      <c r="H14" s="39">
        <v>0</v>
      </c>
      <c r="I14" s="39">
        <v>0</v>
      </c>
      <c r="J14" s="75">
        <v>4</v>
      </c>
      <c r="L14" s="51">
        <v>20</v>
      </c>
      <c r="M14" s="40">
        <v>0</v>
      </c>
      <c r="N14" s="7"/>
      <c r="O14" s="7"/>
      <c r="P14" s="52">
        <f>SUM(G14,I14)/SUM(G14:J14)</f>
        <v>0.8</v>
      </c>
      <c r="Q14" s="53">
        <f>((SUM(G14,I14)+1.3613)-(1.65*SQRT(SUM(G14,I14)-(SUM(G14,I14)^2/SUM(G14:J14))+0.6806)))/(SUM(G14:J14)+2.7225)</f>
        <v>0.62101114036509186</v>
      </c>
      <c r="R14" s="54">
        <f>((SUM(G14,I14)+1.3613)+(1.65*SQRT(SUM(G14,I14)-(SUM(G14,I14)^2/SUM(G14:J14))+0.6806)))/(SUM(G14:J14)+2.7225)</f>
        <v>0.907104163848793</v>
      </c>
      <c r="S14" s="52">
        <f>G14/SUM(G14:J14)</f>
        <v>0.8</v>
      </c>
      <c r="T14" s="53">
        <f>((G14+1.3613)-(1.65*SQRT(G14-(G14^2/SUM(G14:J14))+0.6806)))/(SUM(G14:J14)+2.7225)</f>
        <v>0.62101114036509186</v>
      </c>
      <c r="U14" s="54">
        <f>((G14+1.3613)+(1.65*SQRT(G14-(G14^2/SUM(G14:J14))+0.6806)))/(SUM(G14:J14)+2.7225)</f>
        <v>0.907104163848793</v>
      </c>
      <c r="V14" s="52">
        <f>L14/SUM(L14:M14)</f>
        <v>1</v>
      </c>
      <c r="W14" s="53">
        <f>((L14+1.3613)-(1.65*SQRT(L14-(L14^2/SUM(L14:M14))+0.6806)))/(SUM(L14:M14)+2.7225)</f>
        <v>0.88018813951940023</v>
      </c>
      <c r="X14" s="55">
        <f>((L14+1.3613)+(1.65*SQRT(L14-(L14^2/SUM(L14:M14))+0.6806)))/(SUM(L14:M14)+2.7225)</f>
        <v>1.0000011002209452</v>
      </c>
      <c r="Y14" s="52">
        <f>S14-V14</f>
        <v>-0.19999999999999996</v>
      </c>
      <c r="Z14" s="53">
        <f>Y14-SQRT((S14-T14)^2+(V14-X14)^2)</f>
        <v>-0.3789888596382896</v>
      </c>
      <c r="AA14" s="54">
        <f>Y14+SQRT((S14-U14)^2+(V14-W14)^2)</f>
        <v>-3.9294729938399942E-2</v>
      </c>
      <c r="AB14" s="79" t="s">
        <v>44</v>
      </c>
      <c r="AC14" s="7"/>
      <c r="AD14" s="7"/>
    </row>
    <row r="15" spans="2:30" ht="15.75" customHeight="1" thickBot="1">
      <c r="L15" s="7"/>
      <c r="M15" s="7"/>
      <c r="N15" s="7"/>
      <c r="O15" s="7"/>
      <c r="P15" s="7"/>
      <c r="Q15" s="7"/>
      <c r="R15" s="7"/>
      <c r="S15" s="7"/>
      <c r="T15" s="7"/>
      <c r="U15" s="7"/>
      <c r="V15" s="7"/>
      <c r="W15" s="7"/>
      <c r="X15" s="7"/>
      <c r="Y15" s="7"/>
      <c r="Z15" s="7"/>
      <c r="AA15" s="7"/>
      <c r="AB15" s="58"/>
      <c r="AC15" s="7"/>
      <c r="AD15" s="7"/>
    </row>
    <row r="16" spans="2:30" ht="15.75" customHeight="1" thickBot="1">
      <c r="G16" s="105" t="s">
        <v>35</v>
      </c>
      <c r="H16" s="106"/>
      <c r="I16" s="106"/>
      <c r="J16" s="107"/>
      <c r="L16" s="108" t="s">
        <v>2</v>
      </c>
      <c r="M16" s="109"/>
      <c r="N16" s="7"/>
      <c r="O16" s="7"/>
      <c r="P16" s="65" t="s">
        <v>36</v>
      </c>
      <c r="Q16" s="66">
        <f>SUM(G18:G20)/SUM(G18:G20,J18:J20)</f>
        <v>0.90909090909090906</v>
      </c>
      <c r="R16" s="7"/>
      <c r="S16" s="7"/>
      <c r="T16" s="7"/>
      <c r="U16" s="7"/>
      <c r="V16" s="7"/>
      <c r="W16" s="7"/>
      <c r="X16" s="7"/>
      <c r="Y16" s="7"/>
      <c r="Z16" s="7"/>
      <c r="AA16" s="7"/>
      <c r="AB16" s="58"/>
      <c r="AC16" s="7"/>
      <c r="AD16" s="7"/>
    </row>
    <row r="17" spans="2:30" ht="15.75" customHeight="1" thickBot="1">
      <c r="G17" s="59" t="s">
        <v>13</v>
      </c>
      <c r="H17" s="60" t="s">
        <v>14</v>
      </c>
      <c r="I17" s="60" t="s">
        <v>15</v>
      </c>
      <c r="J17" s="61" t="s">
        <v>16</v>
      </c>
      <c r="L17" s="59" t="s">
        <v>13</v>
      </c>
      <c r="M17" s="61" t="s">
        <v>14</v>
      </c>
      <c r="N17" s="7"/>
      <c r="O17" s="7"/>
      <c r="P17" s="67" t="s">
        <v>37</v>
      </c>
      <c r="Q17" s="68">
        <f>SUM(H18:H20)/SUM(H18:I20)</f>
        <v>1</v>
      </c>
      <c r="R17" s="7"/>
      <c r="S17" s="7"/>
      <c r="T17" s="7"/>
      <c r="U17" s="7"/>
      <c r="V17" s="7"/>
      <c r="W17" s="7"/>
      <c r="X17" s="7"/>
      <c r="Y17" s="7"/>
      <c r="Z17" s="7"/>
      <c r="AA17" s="7"/>
      <c r="AB17" s="58"/>
      <c r="AC17" s="7"/>
      <c r="AD17" s="7"/>
    </row>
    <row r="18" spans="2:30" ht="15.75" customHeight="1">
      <c r="F18" s="62" t="s">
        <v>25</v>
      </c>
      <c r="G18" s="20">
        <f>SUM(G6,G9,G12)</f>
        <v>0</v>
      </c>
      <c r="H18" s="21">
        <f t="shared" ref="H18:M18" si="0">SUM(H6,H9,H12)</f>
        <v>30</v>
      </c>
      <c r="I18" s="21">
        <f t="shared" si="0"/>
        <v>0</v>
      </c>
      <c r="J18" s="19">
        <f t="shared" si="0"/>
        <v>0</v>
      </c>
      <c r="L18" s="20">
        <f t="shared" si="0"/>
        <v>0</v>
      </c>
      <c r="M18" s="19">
        <f t="shared" si="0"/>
        <v>30</v>
      </c>
      <c r="N18" s="7"/>
      <c r="O18" s="7"/>
      <c r="P18" s="67" t="s">
        <v>38</v>
      </c>
      <c r="Q18" s="68">
        <f>1-Q16</f>
        <v>9.0909090909090939E-2</v>
      </c>
      <c r="R18" s="7"/>
      <c r="S18" s="7"/>
      <c r="T18" s="7"/>
      <c r="U18" s="7"/>
      <c r="V18" s="7"/>
      <c r="W18" s="7"/>
      <c r="X18" s="7"/>
      <c r="Y18" s="7"/>
      <c r="Z18" s="7"/>
      <c r="AA18" s="7"/>
      <c r="AB18" s="58"/>
      <c r="AC18" s="7"/>
      <c r="AD18" s="7"/>
    </row>
    <row r="19" spans="2:30" ht="15.75" customHeight="1">
      <c r="F19" s="62" t="s">
        <v>27</v>
      </c>
      <c r="G19" s="32">
        <f t="shared" ref="G19:M20" si="1">SUM(G7,G10,G13)</f>
        <v>30</v>
      </c>
      <c r="H19" s="30">
        <f t="shared" si="1"/>
        <v>26</v>
      </c>
      <c r="I19" s="30">
        <f t="shared" si="1"/>
        <v>0</v>
      </c>
      <c r="J19" s="31">
        <f t="shared" si="1"/>
        <v>4</v>
      </c>
      <c r="L19" s="32">
        <f t="shared" si="1"/>
        <v>34</v>
      </c>
      <c r="M19" s="31">
        <f t="shared" si="1"/>
        <v>26</v>
      </c>
      <c r="N19" s="7"/>
      <c r="O19" s="7"/>
      <c r="P19" s="67" t="s">
        <v>39</v>
      </c>
      <c r="Q19" s="69">
        <f>1-Q17</f>
        <v>0</v>
      </c>
      <c r="R19" s="7"/>
      <c r="S19" s="7"/>
      <c r="T19" s="7"/>
      <c r="U19" s="7"/>
      <c r="V19" s="7"/>
      <c r="W19" s="7"/>
      <c r="X19" s="7"/>
      <c r="Y19" s="7"/>
      <c r="Z19" s="7"/>
      <c r="AA19" s="7"/>
      <c r="AB19" s="58"/>
      <c r="AC19" s="7"/>
      <c r="AD19" s="7"/>
    </row>
    <row r="20" spans="2:30" ht="15.75" customHeight="1" thickBot="1">
      <c r="F20" s="62" t="s">
        <v>29</v>
      </c>
      <c r="G20" s="51">
        <f t="shared" si="1"/>
        <v>50</v>
      </c>
      <c r="H20" s="39">
        <f t="shared" si="1"/>
        <v>6</v>
      </c>
      <c r="I20" s="39">
        <f t="shared" si="1"/>
        <v>0</v>
      </c>
      <c r="J20" s="40">
        <f t="shared" si="1"/>
        <v>4</v>
      </c>
      <c r="L20" s="51">
        <f t="shared" si="1"/>
        <v>54</v>
      </c>
      <c r="M20" s="40">
        <f t="shared" si="1"/>
        <v>6</v>
      </c>
      <c r="N20" s="7"/>
      <c r="O20" s="7"/>
      <c r="P20" s="70" t="s">
        <v>40</v>
      </c>
      <c r="Q20" s="71">
        <f>SUM(G18:H20)/SUM(G18:J20)</f>
        <v>0.94666666666666666</v>
      </c>
      <c r="R20" s="7"/>
      <c r="S20" s="7"/>
      <c r="T20" s="7"/>
      <c r="U20" s="7"/>
      <c r="V20" s="7"/>
      <c r="W20" s="7"/>
      <c r="X20" s="7"/>
      <c r="Y20" s="7"/>
      <c r="Z20" s="7"/>
      <c r="AA20" s="7"/>
      <c r="AB20" s="58"/>
      <c r="AC20" s="7"/>
      <c r="AD20" s="7"/>
    </row>
    <row r="21" spans="2:30" ht="15.75" customHeight="1">
      <c r="G21" s="7">
        <f>SUM(G18:G20)</f>
        <v>80</v>
      </c>
      <c r="H21" s="7">
        <f>SUM(H18:H20)</f>
        <v>62</v>
      </c>
      <c r="I21" s="7">
        <f>SUM(I18:I20)</f>
        <v>0</v>
      </c>
      <c r="J21" s="7">
        <f>SUM(J18:J20)</f>
        <v>8</v>
      </c>
      <c r="K21" s="7"/>
      <c r="L21" s="7">
        <f>SUM(L18:L20)</f>
        <v>88</v>
      </c>
      <c r="M21" s="7">
        <f>SUM(M18:M20)</f>
        <v>62</v>
      </c>
      <c r="N21" s="7"/>
      <c r="O21" s="7"/>
      <c r="P21" s="7"/>
      <c r="Q21" s="7"/>
      <c r="R21" s="7"/>
      <c r="S21" s="7"/>
      <c r="T21" s="7"/>
      <c r="U21" s="7"/>
      <c r="V21" s="7"/>
      <c r="W21" s="7"/>
      <c r="X21" s="7"/>
      <c r="Y21" s="7"/>
      <c r="Z21" s="7"/>
      <c r="AA21" s="7"/>
      <c r="AB21" s="58"/>
      <c r="AC21" s="7"/>
      <c r="AD21" s="7"/>
    </row>
    <row r="22" spans="2:30" ht="15.75" customHeight="1">
      <c r="L22" s="7"/>
      <c r="M22" s="7"/>
      <c r="N22" s="7"/>
      <c r="O22" s="7"/>
      <c r="P22" s="7"/>
      <c r="Q22" s="7"/>
      <c r="R22" s="7"/>
      <c r="S22" s="7"/>
      <c r="T22" s="7"/>
      <c r="U22" s="7"/>
      <c r="V22" s="7"/>
      <c r="W22" s="7"/>
      <c r="X22" s="7"/>
      <c r="Y22" s="7"/>
      <c r="Z22" s="7"/>
      <c r="AA22" s="7"/>
      <c r="AB22" s="58"/>
      <c r="AC22" s="7"/>
      <c r="AD22" s="7"/>
    </row>
    <row r="23" spans="2:30" ht="15.75" customHeight="1">
      <c r="L23" s="7"/>
      <c r="M23" s="7"/>
      <c r="N23" s="7"/>
      <c r="O23" s="7"/>
      <c r="P23" s="7"/>
      <c r="Q23" s="7"/>
      <c r="R23" s="7"/>
      <c r="S23" s="7"/>
      <c r="T23" s="7"/>
      <c r="U23" s="7"/>
      <c r="V23" s="7"/>
      <c r="W23" s="7"/>
      <c r="X23" s="7"/>
      <c r="Y23" s="7"/>
      <c r="Z23" s="7"/>
      <c r="AA23" s="7"/>
      <c r="AB23" s="58"/>
      <c r="AC23" s="7"/>
      <c r="AD23" s="7"/>
    </row>
    <row r="24" spans="2:30" ht="15.75" customHeight="1">
      <c r="L24" s="7"/>
      <c r="M24" s="7"/>
      <c r="N24" s="7"/>
      <c r="O24" s="7"/>
      <c r="P24" s="7"/>
      <c r="Q24" s="7"/>
      <c r="R24" s="7"/>
      <c r="S24" s="7"/>
      <c r="T24" s="7"/>
      <c r="U24" s="7"/>
      <c r="V24" s="7"/>
      <c r="W24" s="7"/>
      <c r="X24" s="7"/>
      <c r="Y24" s="7"/>
      <c r="Z24" s="7"/>
      <c r="AA24" s="7"/>
      <c r="AB24" s="58"/>
      <c r="AC24" s="7"/>
      <c r="AD24" s="7"/>
    </row>
    <row r="25" spans="2:30" ht="15.75" customHeight="1" thickBot="1">
      <c r="L25" s="7"/>
      <c r="M25" s="7"/>
      <c r="N25" s="7"/>
      <c r="O25" s="7"/>
      <c r="P25" s="7"/>
      <c r="Q25" s="7"/>
      <c r="R25" s="7"/>
      <c r="S25" s="7"/>
      <c r="T25" s="7"/>
      <c r="U25" s="7"/>
      <c r="V25" s="7"/>
      <c r="W25" s="7"/>
      <c r="X25" s="7"/>
      <c r="Y25" s="7"/>
      <c r="Z25" s="7"/>
      <c r="AA25" s="7"/>
      <c r="AB25" s="58"/>
      <c r="AC25" s="7"/>
      <c r="AD25" s="7"/>
    </row>
    <row r="26" spans="2:30" ht="15.75" customHeight="1" thickBot="1">
      <c r="B26" s="4"/>
      <c r="C26" s="4"/>
      <c r="D26" s="4"/>
      <c r="E26" s="4"/>
      <c r="F26" s="4"/>
      <c r="G26" s="96" t="s">
        <v>59</v>
      </c>
      <c r="H26" s="97"/>
      <c r="I26" s="97"/>
      <c r="J26" s="98"/>
      <c r="K26" s="6"/>
      <c r="L26" s="96" t="s">
        <v>2</v>
      </c>
      <c r="M26" s="99"/>
      <c r="N26" s="7"/>
      <c r="O26" s="7"/>
      <c r="P26" s="100" t="s">
        <v>3</v>
      </c>
      <c r="Q26" s="101"/>
      <c r="R26" s="102"/>
      <c r="S26" s="103" t="s">
        <v>4</v>
      </c>
      <c r="T26" s="101"/>
      <c r="U26" s="104"/>
      <c r="V26" s="100" t="s">
        <v>5</v>
      </c>
      <c r="W26" s="101"/>
      <c r="X26" s="102"/>
      <c r="Y26" s="103" t="s">
        <v>6</v>
      </c>
      <c r="Z26" s="101"/>
      <c r="AA26" s="104"/>
      <c r="AB26" s="80" t="s">
        <v>7</v>
      </c>
      <c r="AC26" s="7"/>
      <c r="AD26" s="7"/>
    </row>
    <row r="27" spans="2:30" ht="15.75" customHeight="1" thickBot="1">
      <c r="B27" s="5" t="s">
        <v>8</v>
      </c>
      <c r="C27" s="8" t="s">
        <v>9</v>
      </c>
      <c r="D27" s="9" t="s">
        <v>10</v>
      </c>
      <c r="E27" s="9" t="s">
        <v>11</v>
      </c>
      <c r="F27" s="10" t="s">
        <v>12</v>
      </c>
      <c r="G27" s="8" t="s">
        <v>13</v>
      </c>
      <c r="H27" s="9" t="s">
        <v>14</v>
      </c>
      <c r="I27" s="9" t="s">
        <v>15</v>
      </c>
      <c r="J27" s="11" t="s">
        <v>16</v>
      </c>
      <c r="L27" s="8" t="s">
        <v>13</v>
      </c>
      <c r="M27" s="11" t="s">
        <v>14</v>
      </c>
      <c r="N27" s="12"/>
      <c r="O27" s="12"/>
      <c r="P27" s="13" t="s">
        <v>17</v>
      </c>
      <c r="Q27" s="14" t="s">
        <v>18</v>
      </c>
      <c r="R27" s="15" t="s">
        <v>19</v>
      </c>
      <c r="S27" s="16" t="s">
        <v>17</v>
      </c>
      <c r="T27" s="14" t="s">
        <v>18</v>
      </c>
      <c r="U27" s="17" t="s">
        <v>19</v>
      </c>
      <c r="V27" s="13" t="s">
        <v>17</v>
      </c>
      <c r="W27" s="14" t="s">
        <v>18</v>
      </c>
      <c r="X27" s="15" t="s">
        <v>19</v>
      </c>
      <c r="Y27" s="16" t="s">
        <v>20</v>
      </c>
      <c r="Z27" s="14" t="s">
        <v>18</v>
      </c>
      <c r="AA27" s="17" t="s">
        <v>19</v>
      </c>
      <c r="AB27" s="81"/>
      <c r="AC27" s="12"/>
      <c r="AD27" s="12"/>
    </row>
    <row r="28" spans="2:30" ht="15.75" customHeight="1">
      <c r="B28" s="82" t="s">
        <v>41</v>
      </c>
      <c r="C28" s="86" t="s">
        <v>60</v>
      </c>
      <c r="D28" s="89" t="s">
        <v>43</v>
      </c>
      <c r="E28" s="18" t="s">
        <v>24</v>
      </c>
      <c r="F28" s="19" t="s">
        <v>25</v>
      </c>
      <c r="G28" s="20">
        <v>0</v>
      </c>
      <c r="H28" s="21">
        <v>10</v>
      </c>
      <c r="I28" s="21">
        <v>0</v>
      </c>
      <c r="J28" s="19">
        <v>0</v>
      </c>
      <c r="L28" s="22">
        <v>0</v>
      </c>
      <c r="M28" s="23">
        <v>10</v>
      </c>
      <c r="N28" s="7"/>
      <c r="O28" s="7"/>
      <c r="P28" s="24" t="s">
        <v>26</v>
      </c>
      <c r="Q28" s="25" t="s">
        <v>26</v>
      </c>
      <c r="R28" s="26" t="s">
        <v>26</v>
      </c>
      <c r="S28" s="27" t="s">
        <v>26</v>
      </c>
      <c r="T28" s="25" t="s">
        <v>26</v>
      </c>
      <c r="U28" s="26" t="s">
        <v>26</v>
      </c>
      <c r="V28" s="27" t="s">
        <v>26</v>
      </c>
      <c r="W28" s="25" t="s">
        <v>26</v>
      </c>
      <c r="X28" s="28" t="s">
        <v>26</v>
      </c>
      <c r="Y28" s="27" t="s">
        <v>26</v>
      </c>
      <c r="Z28" s="25" t="s">
        <v>26</v>
      </c>
      <c r="AA28" s="26" t="s">
        <v>26</v>
      </c>
      <c r="AB28" s="29" t="s">
        <v>24</v>
      </c>
      <c r="AC28" s="7"/>
      <c r="AD28" s="7"/>
    </row>
    <row r="29" spans="2:30" ht="15.75" customHeight="1">
      <c r="B29" s="83"/>
      <c r="C29" s="87"/>
      <c r="D29" s="90"/>
      <c r="E29" s="30" t="s">
        <v>24</v>
      </c>
      <c r="F29" s="31" t="s">
        <v>27</v>
      </c>
      <c r="G29" s="32">
        <v>10</v>
      </c>
      <c r="H29" s="30">
        <v>10</v>
      </c>
      <c r="I29" s="30">
        <v>0</v>
      </c>
      <c r="J29" s="31">
        <v>0</v>
      </c>
      <c r="L29" s="32">
        <v>10</v>
      </c>
      <c r="M29" s="31">
        <v>10</v>
      </c>
      <c r="N29" s="7"/>
      <c r="O29" s="7"/>
      <c r="P29" s="33">
        <f>SUM(G29,I29)/SUM(G29:J29)</f>
        <v>0.5</v>
      </c>
      <c r="Q29" s="34">
        <f>((SUM(G29,I29)+1.3613)-(1.65*SQRT(SUM(G29,I29)-(SUM(G29,I29)^2/SUM(G29:J29))+0.6806)))/(SUM(G29:J29)+2.7225)</f>
        <v>0.32693094787634341</v>
      </c>
      <c r="R29" s="35">
        <f>((SUM(G29,I29)+1.3613)+(1.65*SQRT(SUM(G29,I29)-(SUM(G29,I29)^2/SUM(G29:J29))+0.6806)))/(SUM(G29:J29)+2.7225)</f>
        <v>0.6730734530478506</v>
      </c>
      <c r="S29" s="33">
        <f>G29/SUM(G29:J29)</f>
        <v>0.5</v>
      </c>
      <c r="T29" s="34">
        <f>((G29+1.3613)-(1.65*SQRT(G29-(G29^2/SUM(G29:J29))+0.6806)))/(SUM(G29:J29)+2.7225)</f>
        <v>0.32693094787634341</v>
      </c>
      <c r="U29" s="35">
        <f>((G29+1.3613)+(1.65*SQRT(G29-(G29^2/SUM(G29:J29))+0.6806)))/(SUM(G29:J29)+2.7225)</f>
        <v>0.6730734530478506</v>
      </c>
      <c r="V29" s="33">
        <f>L29/SUM(L29:M29)</f>
        <v>0.5</v>
      </c>
      <c r="W29" s="34">
        <f>((L29+1.3613)-(1.65*SQRT(L29-(L29^2/SUM(L29:M29))+0.6806)))/(SUM(L29:M29)+2.7225)</f>
        <v>0.32693094787634341</v>
      </c>
      <c r="X29" s="36">
        <f>((L29+1.3613)+(1.65*SQRT(L29-(L29^2/SUM(L29:M29))+0.6806)))/(SUM(L29:M29)+2.7225)</f>
        <v>0.6730734530478506</v>
      </c>
      <c r="Y29" s="33">
        <f>S29-V29</f>
        <v>0</v>
      </c>
      <c r="Z29" s="34">
        <f>Y29-SQRT((S29-T29)^2+(V29-X29)^2)</f>
        <v>-0.24475971268345514</v>
      </c>
      <c r="AA29" s="35">
        <f>Y29+SQRT((S29-U29)^2+(V29-W29)^2)</f>
        <v>0.24475971268345514</v>
      </c>
      <c r="AB29" s="37" t="s">
        <v>28</v>
      </c>
      <c r="AC29" s="38"/>
      <c r="AD29" s="7"/>
    </row>
    <row r="30" spans="2:30" ht="15.75" customHeight="1" thickBot="1">
      <c r="B30" s="83"/>
      <c r="C30" s="88"/>
      <c r="D30" s="91"/>
      <c r="E30" s="39" t="s">
        <v>24</v>
      </c>
      <c r="F30" s="40" t="s">
        <v>29</v>
      </c>
      <c r="G30" s="32">
        <v>17</v>
      </c>
      <c r="H30" s="30">
        <v>2</v>
      </c>
      <c r="I30" s="30">
        <v>0</v>
      </c>
      <c r="J30" s="73">
        <v>1</v>
      </c>
      <c r="L30" s="32">
        <v>18</v>
      </c>
      <c r="M30" s="31">
        <v>2</v>
      </c>
      <c r="N30" s="7"/>
      <c r="O30" s="7"/>
      <c r="P30" s="33">
        <f>SUM(G30,I30)/SUM(G30:J30)</f>
        <v>0.85</v>
      </c>
      <c r="Q30" s="34">
        <f>((SUM(G30,I30)+1.3613)-(1.65*SQRT(SUM(G30,I30)-(SUM(G30,I30)^2/SUM(G30:J30))+0.6806)))/(SUM(G30:J30)+2.7225)</f>
        <v>0.67754918969065736</v>
      </c>
      <c r="R30" s="35">
        <f>((SUM(G30,I30)+1.3613)+(1.65*SQRT(SUM(G30,I30)-(SUM(G30,I30)^2/SUM(G30:J30))+0.6806)))/(SUM(G30:J30)+2.7225)</f>
        <v>0.93858459840484276</v>
      </c>
      <c r="S30" s="33">
        <f>G30/SUM(G30:J30)</f>
        <v>0.85</v>
      </c>
      <c r="T30" s="34">
        <f>((G30+1.3613)-(1.65*SQRT(G30-(G30^2/SUM(G30:J30))+0.6806)))/(SUM(G30:J30)+2.7225)</f>
        <v>0.67754918969065736</v>
      </c>
      <c r="U30" s="35">
        <f>((G30+1.3613)+(1.65*SQRT(G30-(G30^2/SUM(G30:J30))+0.6806)))/(SUM(G30:J30)+2.7225)</f>
        <v>0.93858459840484276</v>
      </c>
      <c r="V30" s="33">
        <f>L30/SUM(L30:M30)</f>
        <v>0.9</v>
      </c>
      <c r="W30" s="34">
        <f>((L30+1.3613)-(1.65*SQRT(L30-(L30^2/SUM(L30:M30))+0.6806)))/(SUM(L30:M30)+2.7225)</f>
        <v>0.7377076948078376</v>
      </c>
      <c r="X30" s="36">
        <f>((L30+1.3613)+(1.65*SQRT(L30-(L30^2/SUM(L30:M30))+0.6806)))/(SUM(L30:M30)+2.7225)</f>
        <v>0.96644457716927756</v>
      </c>
      <c r="Y30" s="33">
        <f>S30-V30</f>
        <v>-5.0000000000000044E-2</v>
      </c>
      <c r="Z30" s="34">
        <f>Y30-SQRT((S30-T30)^2+(V30-X30)^2)</f>
        <v>-0.23480845167781955</v>
      </c>
      <c r="AA30" s="35">
        <f>Y30+SQRT((S30-U30)^2+(V30-W30)^2)</f>
        <v>0.13489462782659006</v>
      </c>
      <c r="AB30" s="37" t="s">
        <v>28</v>
      </c>
      <c r="AC30" s="7"/>
      <c r="AD30" s="7"/>
    </row>
    <row r="31" spans="2:30" ht="15.75" customHeight="1">
      <c r="B31" s="83"/>
      <c r="C31" s="92" t="s">
        <v>45</v>
      </c>
      <c r="D31" s="93" t="s">
        <v>46</v>
      </c>
      <c r="E31" s="41" t="s">
        <v>34</v>
      </c>
      <c r="F31" s="23" t="s">
        <v>25</v>
      </c>
      <c r="G31" s="22">
        <v>0</v>
      </c>
      <c r="H31" s="42">
        <v>10</v>
      </c>
      <c r="I31" s="42">
        <v>0</v>
      </c>
      <c r="J31" s="23">
        <v>0</v>
      </c>
      <c r="L31" s="22">
        <v>0</v>
      </c>
      <c r="M31" s="23">
        <v>10</v>
      </c>
      <c r="N31" s="7"/>
      <c r="O31" s="7"/>
      <c r="P31" s="33" t="s">
        <v>26</v>
      </c>
      <c r="Q31" s="34" t="s">
        <v>26</v>
      </c>
      <c r="R31" s="35" t="s">
        <v>26</v>
      </c>
      <c r="S31" s="33" t="s">
        <v>26</v>
      </c>
      <c r="T31" s="34" t="s">
        <v>26</v>
      </c>
      <c r="U31" s="35" t="s">
        <v>26</v>
      </c>
      <c r="V31" s="33" t="s">
        <v>26</v>
      </c>
      <c r="W31" s="34" t="s">
        <v>26</v>
      </c>
      <c r="X31" s="36" t="s">
        <v>26</v>
      </c>
      <c r="Y31" s="33" t="s">
        <v>26</v>
      </c>
      <c r="Z31" s="34" t="s">
        <v>26</v>
      </c>
      <c r="AA31" s="35" t="s">
        <v>26</v>
      </c>
      <c r="AB31" s="37" t="s">
        <v>24</v>
      </c>
      <c r="AC31" s="7"/>
      <c r="AD31" s="7"/>
    </row>
    <row r="32" spans="2:30" ht="15.75" customHeight="1">
      <c r="B32" s="83"/>
      <c r="C32" s="87"/>
      <c r="D32" s="90"/>
      <c r="E32" s="30" t="s">
        <v>34</v>
      </c>
      <c r="F32" s="31" t="s">
        <v>27</v>
      </c>
      <c r="G32" s="32">
        <v>11</v>
      </c>
      <c r="H32" s="30">
        <v>9</v>
      </c>
      <c r="I32" s="30">
        <v>0</v>
      </c>
      <c r="J32" s="31">
        <v>0</v>
      </c>
      <c r="L32" s="32">
        <v>11</v>
      </c>
      <c r="M32" s="31">
        <v>9</v>
      </c>
      <c r="N32" s="7"/>
      <c r="O32" s="7"/>
      <c r="P32" s="33">
        <f>SUM(G32,I32)/SUM(G32:J32)</f>
        <v>0.55000000000000004</v>
      </c>
      <c r="Q32" s="34">
        <f>((SUM(G32,I32)+1.3613)-(1.65*SQRT(SUM(G32,I32)-(SUM(G32,I32)^2/SUM(G32:J32))+0.6806)))/(SUM(G32:J32)+2.7225)</f>
        <v>0.37170355009739847</v>
      </c>
      <c r="R32" s="35">
        <f>((SUM(G32,I32)+1.3613)+(1.65*SQRT(SUM(G32,I32)-(SUM(G32,I32)^2/SUM(G32:J32))+0.6806)))/(SUM(G32:J32)+2.7225)</f>
        <v>0.71631933470841069</v>
      </c>
      <c r="S32" s="33">
        <f>G32/SUM(G32:J32)</f>
        <v>0.55000000000000004</v>
      </c>
      <c r="T32" s="34">
        <f>((G32+1.3613)-(1.65*SQRT(G32-(G32^2/SUM(G32:J32))+0.6806)))/(SUM(G32:J32)+2.7225)</f>
        <v>0.37170355009739847</v>
      </c>
      <c r="U32" s="35">
        <f>((G32+1.3613)+(1.65*SQRT(G32-(G32^2/SUM(G32:J32))+0.6806)))/(SUM(G32:J32)+2.7225)</f>
        <v>0.71631933470841069</v>
      </c>
      <c r="V32" s="33">
        <f>L32/SUM(L32:M32)</f>
        <v>0.55000000000000004</v>
      </c>
      <c r="W32" s="34">
        <f>((L32+1.3613)-(1.65*SQRT(L32-(L32^2/SUM(L32:M32))+0.6806)))/(SUM(L32:M32)+2.7225)</f>
        <v>0.37170355009739847</v>
      </c>
      <c r="X32" s="36">
        <f>((L32+1.3613)+(1.65*SQRT(L32-(L32^2/SUM(L32:M32))+0.6806)))/(SUM(L32:M32)+2.7225)</f>
        <v>0.71631933470841069</v>
      </c>
      <c r="Y32" s="33">
        <f>S32-V32</f>
        <v>0</v>
      </c>
      <c r="Z32" s="34">
        <f>Y32-SQRT((S32-T32)^2+(V32-X32)^2)</f>
        <v>-0.24382728548240709</v>
      </c>
      <c r="AA32" s="35">
        <f>Y32+SQRT((S32-U32)^2+(V32-W32)^2)</f>
        <v>0.24382728548240709</v>
      </c>
      <c r="AB32" s="37" t="s">
        <v>28</v>
      </c>
      <c r="AC32" s="7"/>
      <c r="AD32" s="7"/>
    </row>
    <row r="33" spans="2:30" ht="15.75" customHeight="1" thickBot="1">
      <c r="B33" s="83"/>
      <c r="C33" s="88"/>
      <c r="D33" s="91"/>
      <c r="E33" s="39" t="s">
        <v>34</v>
      </c>
      <c r="F33" s="40" t="s">
        <v>29</v>
      </c>
      <c r="G33" s="32">
        <v>20</v>
      </c>
      <c r="H33" s="30">
        <v>0</v>
      </c>
      <c r="I33" s="30">
        <v>0</v>
      </c>
      <c r="J33" s="31">
        <v>0</v>
      </c>
      <c r="L33" s="32">
        <v>20</v>
      </c>
      <c r="M33" s="31">
        <v>0</v>
      </c>
      <c r="N33" s="7"/>
      <c r="O33" s="7"/>
      <c r="P33" s="33">
        <f>SUM(G33,I33)/SUM(G33:J33)</f>
        <v>1</v>
      </c>
      <c r="Q33" s="34">
        <f>((SUM(G33,I33)+1.3613)-(1.65*SQRT(SUM(G33,I33)-(SUM(G33,I33)^2/SUM(G33:J33))+0.6806)))/(SUM(G33:J33)+2.7225)</f>
        <v>0.88018813951940023</v>
      </c>
      <c r="R33" s="35">
        <f>((SUM(G33,I33)+1.3613)+(1.65*SQRT(SUM(G33,I33)-(SUM(G33,I33)^2/SUM(G33:J33))+0.6806)))/(SUM(G33:J33)+2.7225)</f>
        <v>1.0000011002209452</v>
      </c>
      <c r="S33" s="33">
        <f>G33/SUM(G33:J33)</f>
        <v>1</v>
      </c>
      <c r="T33" s="34">
        <f>((G33+1.3613)-(1.65*SQRT(G33-(G33^2/SUM(G33:J33))+0.6806)))/(SUM(G33:J33)+2.7225)</f>
        <v>0.88018813951940023</v>
      </c>
      <c r="U33" s="35">
        <f>((G33+1.3613)+(1.65*SQRT(G33-(G33^2/SUM(G33:J33))+0.6806)))/(SUM(G33:J33)+2.7225)</f>
        <v>1.0000011002209452</v>
      </c>
      <c r="V33" s="33">
        <f>L33/SUM(L33:M33)</f>
        <v>1</v>
      </c>
      <c r="W33" s="34">
        <f>((L33+1.3613)-(1.65*SQRT(L33-(L33^2/SUM(L33:M33))+0.6806)))/(SUM(L33:M33)+2.7225)</f>
        <v>0.88018813951940023</v>
      </c>
      <c r="X33" s="36">
        <f>((L33+1.3613)+(1.65*SQRT(L33-(L33^2/SUM(L33:M33))+0.6806)))/(SUM(L33:M33)+2.7225)</f>
        <v>1.0000011002209452</v>
      </c>
      <c r="Y33" s="33">
        <f>S33-V33</f>
        <v>0</v>
      </c>
      <c r="Z33" s="34">
        <f>Y33-SQRT((S33-T33)^2+(V33-X33)^2)</f>
        <v>-0.11981186048565139</v>
      </c>
      <c r="AA33" s="35">
        <f>Y33+SQRT((S33-U33)^2+(V33-W33)^2)</f>
        <v>0.11981186048565139</v>
      </c>
      <c r="AB33" s="37" t="s">
        <v>28</v>
      </c>
      <c r="AC33" s="7"/>
      <c r="AD33" s="7"/>
    </row>
    <row r="34" spans="2:30" ht="15.75" customHeight="1">
      <c r="B34" s="83"/>
      <c r="C34" s="92" t="s">
        <v>47</v>
      </c>
      <c r="D34" s="93" t="s">
        <v>48</v>
      </c>
      <c r="E34" s="41" t="s">
        <v>24</v>
      </c>
      <c r="F34" s="23" t="s">
        <v>25</v>
      </c>
      <c r="G34" s="22">
        <v>0</v>
      </c>
      <c r="H34" s="42">
        <v>10</v>
      </c>
      <c r="I34" s="42">
        <v>0</v>
      </c>
      <c r="J34" s="23">
        <v>0</v>
      </c>
      <c r="L34" s="22">
        <v>0</v>
      </c>
      <c r="M34" s="23">
        <v>10</v>
      </c>
      <c r="N34" s="7"/>
      <c r="O34" s="7"/>
      <c r="P34" s="33" t="s">
        <v>26</v>
      </c>
      <c r="Q34" s="34" t="s">
        <v>26</v>
      </c>
      <c r="R34" s="35" t="s">
        <v>26</v>
      </c>
      <c r="S34" s="33" t="s">
        <v>26</v>
      </c>
      <c r="T34" s="34" t="s">
        <v>26</v>
      </c>
      <c r="U34" s="35" t="s">
        <v>26</v>
      </c>
      <c r="V34" s="33" t="s">
        <v>26</v>
      </c>
      <c r="W34" s="34" t="s">
        <v>26</v>
      </c>
      <c r="X34" s="36" t="s">
        <v>26</v>
      </c>
      <c r="Y34" s="33" t="s">
        <v>26</v>
      </c>
      <c r="Z34" s="34" t="s">
        <v>26</v>
      </c>
      <c r="AA34" s="35" t="s">
        <v>26</v>
      </c>
      <c r="AB34" s="37" t="s">
        <v>24</v>
      </c>
      <c r="AC34" s="7"/>
      <c r="AD34" s="7"/>
    </row>
    <row r="35" spans="2:30" ht="15.75" customHeight="1">
      <c r="B35" s="84"/>
      <c r="C35" s="94"/>
      <c r="D35" s="95"/>
      <c r="E35" s="43" t="s">
        <v>24</v>
      </c>
      <c r="F35" s="44" t="s">
        <v>27</v>
      </c>
      <c r="G35" s="45">
        <v>8</v>
      </c>
      <c r="H35" s="46">
        <v>12</v>
      </c>
      <c r="I35" s="46">
        <v>0</v>
      </c>
      <c r="J35" s="44">
        <v>0</v>
      </c>
      <c r="L35" s="45">
        <v>8</v>
      </c>
      <c r="M35" s="44">
        <v>12</v>
      </c>
      <c r="N35" s="7"/>
      <c r="O35" s="7"/>
      <c r="P35" s="47">
        <f>SUM(G35,I35)/SUM(G35:J35)</f>
        <v>0.4</v>
      </c>
      <c r="Q35" s="48">
        <f>((SUM(G35,I35)+1.3613)-(1.65*SQRT(SUM(G35,I35)-(SUM(G35,I35)^2/SUM(G35:J35))+0.6806)))/(SUM(G35:J35)+2.7225)</f>
        <v>0.24198647075497337</v>
      </c>
      <c r="R35" s="49">
        <f>((SUM(G35,I35)+1.3613)+(1.65*SQRT(SUM(G35,I35)-(SUM(G35,I35)^2/SUM(G35:J35))+0.6806)))/(SUM(G35:J35)+2.7225)</f>
        <v>0.5819809624059904</v>
      </c>
      <c r="S35" s="47">
        <f>G35/SUM(G35:J35)</f>
        <v>0.4</v>
      </c>
      <c r="T35" s="48">
        <f>((G35+1.3613)-(1.65*SQRT(G35-(G35^2/SUM(G35:J35))+0.6806)))/(SUM(G35:J35)+2.7225)</f>
        <v>0.24198647075497337</v>
      </c>
      <c r="U35" s="49">
        <f>((G35+1.3613)+(1.65*SQRT(G35-(G35^2/SUM(G35:J35))+0.6806)))/(SUM(G35:J35)+2.7225)</f>
        <v>0.5819809624059904</v>
      </c>
      <c r="V35" s="47">
        <f>L35/SUM(L35:M35)</f>
        <v>0.4</v>
      </c>
      <c r="W35" s="48">
        <f>((L35+1.3613)-(1.65*SQRT(L35-(L35^2/SUM(L35:M35))+0.6806)))/(SUM(L35:M35)+2.7225)</f>
        <v>0.24198647075497337</v>
      </c>
      <c r="X35" s="50">
        <f>((L35+1.3613)+(1.65*SQRT(L35-(L35^2/SUM(L35:M35))+0.6806)))/(SUM(L35:M35)+2.7225)</f>
        <v>0.5819809624059904</v>
      </c>
      <c r="Y35" s="47">
        <f>S35-V35</f>
        <v>0</v>
      </c>
      <c r="Z35" s="48">
        <f>Y35-SQRT((S35-T35)^2+(V35-X35)^2)</f>
        <v>-0.24100901664186627</v>
      </c>
      <c r="AA35" s="49">
        <f>Y35+SQRT((S35-U35)^2+(V35-W35)^2)</f>
        <v>0.24100901664186627</v>
      </c>
      <c r="AB35" s="37" t="s">
        <v>28</v>
      </c>
      <c r="AC35" s="7"/>
      <c r="AD35" s="7"/>
    </row>
    <row r="36" spans="2:30" ht="15.75" customHeight="1" thickBot="1">
      <c r="B36" s="85"/>
      <c r="C36" s="88"/>
      <c r="D36" s="91"/>
      <c r="E36" s="39" t="s">
        <v>24</v>
      </c>
      <c r="F36" s="40" t="s">
        <v>29</v>
      </c>
      <c r="G36" s="51">
        <v>13</v>
      </c>
      <c r="H36" s="39">
        <v>7</v>
      </c>
      <c r="I36" s="39">
        <v>0</v>
      </c>
      <c r="J36" s="40">
        <v>0</v>
      </c>
      <c r="L36" s="51">
        <v>13</v>
      </c>
      <c r="M36" s="40">
        <v>7</v>
      </c>
      <c r="N36" s="7"/>
      <c r="O36" s="7"/>
      <c r="P36" s="52">
        <f>SUM(G36,I36)/SUM(G36:J36)</f>
        <v>0.65</v>
      </c>
      <c r="Q36" s="53">
        <f>((SUM(G36,I36)+1.3613)-(1.65*SQRT(SUM(G36,I36)-(SUM(G36,I36)^2/SUM(G36:J36))+0.6806)))/(SUM(G36:J36)+2.7225)</f>
        <v>0.46595518412280768</v>
      </c>
      <c r="R36" s="54">
        <f>((SUM(G36,I36)+1.3613)+(1.65*SQRT(SUM(G36,I36)-(SUM(G36,I36)^2/SUM(G36:J36))+0.6806)))/(SUM(G36:J36)+2.7225)</f>
        <v>0.79810466844623185</v>
      </c>
      <c r="S36" s="52">
        <f>G36/SUM(G36:J36)</f>
        <v>0.65</v>
      </c>
      <c r="T36" s="53">
        <f>((G36+1.3613)-(1.65*SQRT(G36-(G36^2/SUM(G36:J36))+0.6806)))/(SUM(G36:J36)+2.7225)</f>
        <v>0.46595518412280768</v>
      </c>
      <c r="U36" s="54">
        <f>((G36+1.3613)+(1.65*SQRT(G36-(G36^2/SUM(G36:J36))+0.6806)))/(SUM(G36:J36)+2.7225)</f>
        <v>0.79810466844623185</v>
      </c>
      <c r="V36" s="52">
        <f>L36/SUM(L36:M36)</f>
        <v>0.65</v>
      </c>
      <c r="W36" s="53">
        <f>((L36+1.3613)-(1.65*SQRT(L36-(L36^2/SUM(L36:M36))+0.6806)))/(SUM(L36:M36)+2.7225)</f>
        <v>0.46595518412280768</v>
      </c>
      <c r="X36" s="55">
        <f>((L36+1.3613)+(1.65*SQRT(L36-(L36^2/SUM(L36:M36))+0.6806)))/(SUM(L36:M36)+2.7225)</f>
        <v>0.79810466844623185</v>
      </c>
      <c r="Y36" s="52">
        <f>S36-V36</f>
        <v>0</v>
      </c>
      <c r="Z36" s="53">
        <f>Y36-SQRT((S36-T36)^2+(V36-X36)^2)</f>
        <v>-0.23623608332944798</v>
      </c>
      <c r="AA36" s="54">
        <f>Y36+SQRT((S36-U36)^2+(V36-W36)^2)</f>
        <v>0.23623608332944798</v>
      </c>
      <c r="AB36" s="56" t="s">
        <v>28</v>
      </c>
      <c r="AC36" s="7"/>
      <c r="AD36" s="7"/>
    </row>
    <row r="37" spans="2:30" ht="15.75" customHeight="1" thickBot="1"/>
    <row r="38" spans="2:30" ht="15.75" customHeight="1" thickBot="1">
      <c r="G38" s="105" t="s">
        <v>35</v>
      </c>
      <c r="H38" s="106"/>
      <c r="I38" s="106"/>
      <c r="J38" s="107"/>
      <c r="L38" s="108" t="s">
        <v>2</v>
      </c>
      <c r="M38" s="109"/>
      <c r="N38" s="7"/>
      <c r="O38" s="7"/>
      <c r="P38" s="65" t="s">
        <v>36</v>
      </c>
      <c r="Q38" s="66">
        <f>SUM(G40:G42)/SUM(G40:G42,J40:J42)</f>
        <v>0.98750000000000004</v>
      </c>
    </row>
    <row r="39" spans="2:30" ht="15.75" customHeight="1" thickBot="1">
      <c r="G39" s="59" t="s">
        <v>13</v>
      </c>
      <c r="H39" s="60" t="s">
        <v>14</v>
      </c>
      <c r="I39" s="60" t="s">
        <v>15</v>
      </c>
      <c r="J39" s="61" t="s">
        <v>16</v>
      </c>
      <c r="L39" s="59" t="s">
        <v>13</v>
      </c>
      <c r="M39" s="61" t="s">
        <v>14</v>
      </c>
      <c r="N39" s="7"/>
      <c r="O39" s="7"/>
      <c r="P39" s="67" t="s">
        <v>37</v>
      </c>
      <c r="Q39" s="68">
        <f>SUM(H40:H42)/SUM(H40:I42)</f>
        <v>1</v>
      </c>
    </row>
    <row r="40" spans="2:30" ht="15.75" customHeight="1">
      <c r="F40" s="62" t="s">
        <v>25</v>
      </c>
      <c r="G40" s="20">
        <f>SUM(G28,G31,G34)</f>
        <v>0</v>
      </c>
      <c r="H40" s="21">
        <f t="shared" ref="H40:J40" si="2">SUM(H28,H31,H34)</f>
        <v>30</v>
      </c>
      <c r="I40" s="21">
        <f t="shared" si="2"/>
        <v>0</v>
      </c>
      <c r="J40" s="19">
        <f t="shared" si="2"/>
        <v>0</v>
      </c>
      <c r="L40" s="20">
        <f t="shared" ref="L40:M40" si="3">SUM(L28,L31,L34)</f>
        <v>0</v>
      </c>
      <c r="M40" s="19">
        <f t="shared" si="3"/>
        <v>30</v>
      </c>
      <c r="N40" s="7"/>
      <c r="O40" s="7"/>
      <c r="P40" s="67" t="s">
        <v>38</v>
      </c>
      <c r="Q40" s="68">
        <f>1-Q38</f>
        <v>1.2499999999999956E-2</v>
      </c>
    </row>
    <row r="41" spans="2:30" ht="15.75" customHeight="1">
      <c r="F41" s="62" t="s">
        <v>27</v>
      </c>
      <c r="G41" s="32">
        <f t="shared" ref="G41:J41" si="4">SUM(G29,G32,G35)</f>
        <v>29</v>
      </c>
      <c r="H41" s="30">
        <f t="shared" si="4"/>
        <v>31</v>
      </c>
      <c r="I41" s="30">
        <f t="shared" si="4"/>
        <v>0</v>
      </c>
      <c r="J41" s="31">
        <f t="shared" si="4"/>
        <v>0</v>
      </c>
      <c r="L41" s="32">
        <f t="shared" ref="L41:M41" si="5">SUM(L29,L32,L35)</f>
        <v>29</v>
      </c>
      <c r="M41" s="31">
        <f t="shared" si="5"/>
        <v>31</v>
      </c>
      <c r="N41" s="7"/>
      <c r="O41" s="7"/>
      <c r="P41" s="67" t="s">
        <v>39</v>
      </c>
      <c r="Q41" s="69">
        <f>1-Q39</f>
        <v>0</v>
      </c>
    </row>
    <row r="42" spans="2:30" ht="15.75" customHeight="1" thickBot="1">
      <c r="F42" s="62" t="s">
        <v>29</v>
      </c>
      <c r="G42" s="51">
        <f t="shared" ref="G42:J42" si="6">SUM(G30,G33,G36)</f>
        <v>50</v>
      </c>
      <c r="H42" s="39">
        <f t="shared" si="6"/>
        <v>9</v>
      </c>
      <c r="I42" s="39">
        <f t="shared" si="6"/>
        <v>0</v>
      </c>
      <c r="J42" s="40">
        <f t="shared" si="6"/>
        <v>1</v>
      </c>
      <c r="L42" s="51">
        <f t="shared" ref="L42:M42" si="7">SUM(L30,L33,L36)</f>
        <v>51</v>
      </c>
      <c r="M42" s="40">
        <f t="shared" si="7"/>
        <v>9</v>
      </c>
      <c r="N42" s="7"/>
      <c r="O42" s="7"/>
      <c r="P42" s="70" t="s">
        <v>40</v>
      </c>
      <c r="Q42" s="71">
        <f>SUM(G40:H42)/SUM(G40:J42)</f>
        <v>0.99333333333333329</v>
      </c>
    </row>
    <row r="43" spans="2:30" ht="15.75" customHeight="1">
      <c r="G43" s="7">
        <f>SUM(G40:G42)</f>
        <v>79</v>
      </c>
      <c r="H43" s="7">
        <f>SUM(H40:H42)</f>
        <v>70</v>
      </c>
      <c r="I43" s="7">
        <f>SUM(I40:I42)</f>
        <v>0</v>
      </c>
      <c r="J43" s="7">
        <f>SUM(J40:J42)</f>
        <v>1</v>
      </c>
      <c r="K43" s="7"/>
      <c r="L43" s="7">
        <f>SUM(L40:L42)</f>
        <v>80</v>
      </c>
      <c r="M43" s="7">
        <f>SUM(M40:M42)</f>
        <v>70</v>
      </c>
    </row>
    <row r="47" spans="2:30" ht="15.75" customHeight="1" thickBot="1"/>
    <row r="48" spans="2:30" ht="15.75" customHeight="1" thickBot="1">
      <c r="B48" s="4"/>
      <c r="C48" s="4"/>
      <c r="D48" s="4"/>
      <c r="E48" s="4"/>
      <c r="F48" s="4"/>
      <c r="G48" s="96" t="s">
        <v>59</v>
      </c>
      <c r="H48" s="97"/>
      <c r="I48" s="97"/>
      <c r="J48" s="98"/>
      <c r="K48" s="6"/>
      <c r="L48" s="96" t="s">
        <v>2</v>
      </c>
      <c r="M48" s="99"/>
      <c r="N48" s="7"/>
      <c r="O48" s="7"/>
      <c r="P48" s="100" t="s">
        <v>3</v>
      </c>
      <c r="Q48" s="101"/>
      <c r="R48" s="102"/>
      <c r="S48" s="103" t="s">
        <v>4</v>
      </c>
      <c r="T48" s="101"/>
      <c r="U48" s="104"/>
      <c r="V48" s="100" t="s">
        <v>5</v>
      </c>
      <c r="W48" s="101"/>
      <c r="X48" s="102"/>
      <c r="Y48" s="103" t="s">
        <v>6</v>
      </c>
      <c r="Z48" s="101"/>
      <c r="AA48" s="104"/>
      <c r="AB48" s="80" t="s">
        <v>7</v>
      </c>
      <c r="AC48" s="7"/>
      <c r="AD48" s="7"/>
    </row>
    <row r="49" spans="2:30" ht="15.75" customHeight="1" thickBot="1">
      <c r="B49" s="5" t="s">
        <v>8</v>
      </c>
      <c r="C49" s="8" t="s">
        <v>9</v>
      </c>
      <c r="D49" s="9" t="s">
        <v>10</v>
      </c>
      <c r="E49" s="9" t="s">
        <v>11</v>
      </c>
      <c r="F49" s="10" t="s">
        <v>12</v>
      </c>
      <c r="G49" s="8" t="s">
        <v>13</v>
      </c>
      <c r="H49" s="9" t="s">
        <v>14</v>
      </c>
      <c r="I49" s="9" t="s">
        <v>15</v>
      </c>
      <c r="J49" s="11" t="s">
        <v>16</v>
      </c>
      <c r="L49" s="8" t="s">
        <v>13</v>
      </c>
      <c r="M49" s="11" t="s">
        <v>14</v>
      </c>
      <c r="N49" s="12"/>
      <c r="O49" s="12"/>
      <c r="P49" s="13" t="s">
        <v>17</v>
      </c>
      <c r="Q49" s="14" t="s">
        <v>18</v>
      </c>
      <c r="R49" s="15" t="s">
        <v>19</v>
      </c>
      <c r="S49" s="16" t="s">
        <v>17</v>
      </c>
      <c r="T49" s="14" t="s">
        <v>18</v>
      </c>
      <c r="U49" s="17" t="s">
        <v>19</v>
      </c>
      <c r="V49" s="13" t="s">
        <v>17</v>
      </c>
      <c r="W49" s="14" t="s">
        <v>18</v>
      </c>
      <c r="X49" s="15" t="s">
        <v>19</v>
      </c>
      <c r="Y49" s="16" t="s">
        <v>20</v>
      </c>
      <c r="Z49" s="14" t="s">
        <v>18</v>
      </c>
      <c r="AA49" s="17" t="s">
        <v>19</v>
      </c>
      <c r="AB49" s="81"/>
      <c r="AC49" s="12"/>
      <c r="AD49" s="12"/>
    </row>
    <row r="50" spans="2:30" ht="15.75" customHeight="1">
      <c r="B50" s="82" t="s">
        <v>50</v>
      </c>
      <c r="C50" s="86" t="s">
        <v>51</v>
      </c>
      <c r="D50" s="89" t="s">
        <v>52</v>
      </c>
      <c r="E50" s="18" t="s">
        <v>24</v>
      </c>
      <c r="F50" s="19" t="s">
        <v>25</v>
      </c>
      <c r="G50" s="20">
        <v>0</v>
      </c>
      <c r="H50" s="21">
        <v>10</v>
      </c>
      <c r="I50" s="21">
        <v>0</v>
      </c>
      <c r="J50" s="19">
        <v>0</v>
      </c>
      <c r="L50" s="22">
        <v>0</v>
      </c>
      <c r="M50" s="23">
        <v>10</v>
      </c>
      <c r="N50" s="7"/>
      <c r="O50" s="7"/>
      <c r="P50" s="24" t="s">
        <v>26</v>
      </c>
      <c r="Q50" s="25" t="s">
        <v>26</v>
      </c>
      <c r="R50" s="26" t="s">
        <v>26</v>
      </c>
      <c r="S50" s="27" t="s">
        <v>26</v>
      </c>
      <c r="T50" s="25" t="s">
        <v>26</v>
      </c>
      <c r="U50" s="26" t="s">
        <v>26</v>
      </c>
      <c r="V50" s="27" t="s">
        <v>26</v>
      </c>
      <c r="W50" s="25" t="s">
        <v>26</v>
      </c>
      <c r="X50" s="28" t="s">
        <v>26</v>
      </c>
      <c r="Y50" s="27" t="s">
        <v>26</v>
      </c>
      <c r="Z50" s="25" t="s">
        <v>26</v>
      </c>
      <c r="AA50" s="26" t="s">
        <v>26</v>
      </c>
      <c r="AB50" s="29" t="s">
        <v>24</v>
      </c>
      <c r="AC50" s="7"/>
      <c r="AD50" s="7"/>
    </row>
    <row r="51" spans="2:30" ht="15.75" customHeight="1">
      <c r="B51" s="83"/>
      <c r="C51" s="87"/>
      <c r="D51" s="90"/>
      <c r="E51" s="30" t="s">
        <v>24</v>
      </c>
      <c r="F51" s="31" t="s">
        <v>27</v>
      </c>
      <c r="G51" s="32">
        <v>11</v>
      </c>
      <c r="H51" s="30">
        <v>9</v>
      </c>
      <c r="I51" s="30">
        <v>0</v>
      </c>
      <c r="J51" s="31">
        <v>0</v>
      </c>
      <c r="L51" s="32">
        <v>11</v>
      </c>
      <c r="M51" s="31">
        <v>9</v>
      </c>
      <c r="N51" s="7"/>
      <c r="O51" s="7"/>
      <c r="P51" s="33">
        <f>SUM(G51,I51)/SUM(G51:J51)</f>
        <v>0.55000000000000004</v>
      </c>
      <c r="Q51" s="34">
        <f>((SUM(G51,I51)+1.3613)-(1.65*SQRT(SUM(G51,I51)-(SUM(G51,I51)^2/SUM(G51:J51))+0.6806)))/(SUM(G51:J51)+2.7225)</f>
        <v>0.37170355009739847</v>
      </c>
      <c r="R51" s="35">
        <f>((SUM(G51,I51)+1.3613)+(1.65*SQRT(SUM(G51,I51)-(SUM(G51,I51)^2/SUM(G51:J51))+0.6806)))/(SUM(G51:J51)+2.7225)</f>
        <v>0.71631933470841069</v>
      </c>
      <c r="S51" s="33">
        <f>G51/SUM(G51:J51)</f>
        <v>0.55000000000000004</v>
      </c>
      <c r="T51" s="34">
        <f>((G51+1.3613)-(1.65*SQRT(G51-(G51^2/SUM(G51:J51))+0.6806)))/(SUM(G51:J51)+2.7225)</f>
        <v>0.37170355009739847</v>
      </c>
      <c r="U51" s="35">
        <f>((G51+1.3613)+(1.65*SQRT(G51-(G51^2/SUM(G51:J51))+0.6806)))/(SUM(G51:J51)+2.7225)</f>
        <v>0.71631933470841069</v>
      </c>
      <c r="V51" s="33">
        <f>L51/SUM(L51:M51)</f>
        <v>0.55000000000000004</v>
      </c>
      <c r="W51" s="34">
        <f>((L51+1.3613)-(1.65*SQRT(L51-(L51^2/SUM(L51:M51))+0.6806)))/(SUM(L51:M51)+2.7225)</f>
        <v>0.37170355009739847</v>
      </c>
      <c r="X51" s="36">
        <f>((L51+1.3613)+(1.65*SQRT(L51-(L51^2/SUM(L51:M51))+0.6806)))/(SUM(L51:M51)+2.7225)</f>
        <v>0.71631933470841069</v>
      </c>
      <c r="Y51" s="33">
        <f>S51-V51</f>
        <v>0</v>
      </c>
      <c r="Z51" s="34">
        <f>Y51-SQRT((S51-T51)^2+(V51-X51)^2)</f>
        <v>-0.24382728548240709</v>
      </c>
      <c r="AA51" s="35">
        <f>Y51+SQRT((S51-U51)^2+(V51-W51)^2)</f>
        <v>0.24382728548240709</v>
      </c>
      <c r="AB51" s="37" t="s">
        <v>28</v>
      </c>
      <c r="AC51" s="38"/>
      <c r="AD51" s="7"/>
    </row>
    <row r="52" spans="2:30" ht="15.75" customHeight="1" thickBot="1">
      <c r="B52" s="83"/>
      <c r="C52" s="88"/>
      <c r="D52" s="91"/>
      <c r="E52" s="39" t="s">
        <v>24</v>
      </c>
      <c r="F52" s="40" t="s">
        <v>29</v>
      </c>
      <c r="G52" s="32">
        <v>20</v>
      </c>
      <c r="H52" s="30">
        <v>0</v>
      </c>
      <c r="I52" s="30">
        <v>0</v>
      </c>
      <c r="J52" s="31">
        <v>0</v>
      </c>
      <c r="L52" s="32">
        <v>20</v>
      </c>
      <c r="M52" s="31">
        <v>0</v>
      </c>
      <c r="N52" s="7"/>
      <c r="O52" s="7"/>
      <c r="P52" s="33">
        <f>SUM(G52,I52)/SUM(G52:J52)</f>
        <v>1</v>
      </c>
      <c r="Q52" s="34">
        <f>((SUM(G52,I52)+1.3613)-(1.65*SQRT(SUM(G52,I52)-(SUM(G52,I52)^2/SUM(G52:J52))+0.6806)))/(SUM(G52:J52)+2.7225)</f>
        <v>0.88018813951940023</v>
      </c>
      <c r="R52" s="35">
        <f>((SUM(G52,I52)+1.3613)+(1.65*SQRT(SUM(G52,I52)-(SUM(G52,I52)^2/SUM(G52:J52))+0.6806)))/(SUM(G52:J52)+2.7225)</f>
        <v>1.0000011002209452</v>
      </c>
      <c r="S52" s="33">
        <f>G52/SUM(G52:J52)</f>
        <v>1</v>
      </c>
      <c r="T52" s="34">
        <f>((G52+1.3613)-(1.65*SQRT(G52-(G52^2/SUM(G52:J52))+0.6806)))/(SUM(G52:J52)+2.7225)</f>
        <v>0.88018813951940023</v>
      </c>
      <c r="U52" s="35">
        <f>((G52+1.3613)+(1.65*SQRT(G52-(G52^2/SUM(G52:J52))+0.6806)))/(SUM(G52:J52)+2.7225)</f>
        <v>1.0000011002209452</v>
      </c>
      <c r="V52" s="33">
        <f>L52/SUM(L52:M52)</f>
        <v>1</v>
      </c>
      <c r="W52" s="34">
        <f>((L52+1.3613)-(1.65*SQRT(L52-(L52^2/SUM(L52:M52))+0.6806)))/(SUM(L52:M52)+2.7225)</f>
        <v>0.88018813951940023</v>
      </c>
      <c r="X52" s="36">
        <f>((L52+1.3613)+(1.65*SQRT(L52-(L52^2/SUM(L52:M52))+0.6806)))/(SUM(L52:M52)+2.7225)</f>
        <v>1.0000011002209452</v>
      </c>
      <c r="Y52" s="33">
        <f>S52-V52</f>
        <v>0</v>
      </c>
      <c r="Z52" s="34">
        <f>Y52-SQRT((S52-T52)^2+(V52-X52)^2)</f>
        <v>-0.11981186048565139</v>
      </c>
      <c r="AA52" s="35">
        <f>Y52+SQRT((S52-U52)^2+(V52-W52)^2)</f>
        <v>0.11981186048565139</v>
      </c>
      <c r="AB52" s="37" t="s">
        <v>28</v>
      </c>
      <c r="AC52" s="7"/>
      <c r="AD52" s="7"/>
    </row>
    <row r="53" spans="2:30" ht="15.75" customHeight="1">
      <c r="B53" s="83"/>
      <c r="C53" s="92" t="s">
        <v>53</v>
      </c>
      <c r="D53" s="93" t="s">
        <v>54</v>
      </c>
      <c r="E53" s="41" t="s">
        <v>34</v>
      </c>
      <c r="F53" s="23" t="s">
        <v>25</v>
      </c>
      <c r="G53" s="22">
        <v>0</v>
      </c>
      <c r="H53" s="42">
        <v>10</v>
      </c>
      <c r="I53" s="42">
        <v>0</v>
      </c>
      <c r="J53" s="23">
        <v>0</v>
      </c>
      <c r="L53" s="22">
        <v>0</v>
      </c>
      <c r="M53" s="23">
        <v>10</v>
      </c>
      <c r="N53" s="7"/>
      <c r="O53" s="7"/>
      <c r="P53" s="33" t="s">
        <v>26</v>
      </c>
      <c r="Q53" s="34" t="s">
        <v>26</v>
      </c>
      <c r="R53" s="35" t="s">
        <v>26</v>
      </c>
      <c r="S53" s="33" t="s">
        <v>26</v>
      </c>
      <c r="T53" s="34" t="s">
        <v>26</v>
      </c>
      <c r="U53" s="35" t="s">
        <v>26</v>
      </c>
      <c r="V53" s="33" t="s">
        <v>26</v>
      </c>
      <c r="W53" s="34" t="s">
        <v>26</v>
      </c>
      <c r="X53" s="36" t="s">
        <v>26</v>
      </c>
      <c r="Y53" s="33" t="s">
        <v>26</v>
      </c>
      <c r="Z53" s="34" t="s">
        <v>26</v>
      </c>
      <c r="AA53" s="35" t="s">
        <v>26</v>
      </c>
      <c r="AB53" s="37" t="s">
        <v>24</v>
      </c>
      <c r="AC53" s="7"/>
      <c r="AD53" s="7"/>
    </row>
    <row r="54" spans="2:30" ht="15.75" customHeight="1">
      <c r="B54" s="83"/>
      <c r="C54" s="87"/>
      <c r="D54" s="90"/>
      <c r="E54" s="30" t="s">
        <v>34</v>
      </c>
      <c r="F54" s="31" t="s">
        <v>27</v>
      </c>
      <c r="G54" s="32">
        <v>11</v>
      </c>
      <c r="H54" s="30">
        <v>4</v>
      </c>
      <c r="I54" s="30">
        <v>0</v>
      </c>
      <c r="J54" s="73">
        <v>5</v>
      </c>
      <c r="L54" s="32">
        <v>16</v>
      </c>
      <c r="M54" s="31">
        <v>4</v>
      </c>
      <c r="N54" s="7"/>
      <c r="O54" s="7"/>
      <c r="P54" s="33">
        <f>SUM(G54,I54)/SUM(G54:J54)</f>
        <v>0.55000000000000004</v>
      </c>
      <c r="Q54" s="34">
        <f>((SUM(G54,I54)+1.3613)-(1.65*SQRT(SUM(G54,I54)-(SUM(G54,I54)^2/SUM(G54:J54))+0.6806)))/(SUM(G54:J54)+2.7225)</f>
        <v>0.37170355009739847</v>
      </c>
      <c r="R54" s="35">
        <f>((SUM(G54,I54)+1.3613)+(1.65*SQRT(SUM(G54,I54)-(SUM(G54,I54)^2/SUM(G54:J54))+0.6806)))/(SUM(G54:J54)+2.7225)</f>
        <v>0.71631933470841069</v>
      </c>
      <c r="S54" s="33">
        <f>G54/SUM(G54:J54)</f>
        <v>0.55000000000000004</v>
      </c>
      <c r="T54" s="34">
        <f>((G54+1.3613)-(1.65*SQRT(G54-(G54^2/SUM(G54:J54))+0.6806)))/(SUM(G54:J54)+2.7225)</f>
        <v>0.37170355009739847</v>
      </c>
      <c r="U54" s="35">
        <f>((G54+1.3613)+(1.65*SQRT(G54-(G54^2/SUM(G54:J54))+0.6806)))/(SUM(G54:J54)+2.7225)</f>
        <v>0.71631933470841069</v>
      </c>
      <c r="V54" s="33">
        <f>L54/SUM(L54:M54)</f>
        <v>0.8</v>
      </c>
      <c r="W54" s="34">
        <f>((L54+1.3613)-(1.65*SQRT(L54-(L54^2/SUM(L54:M54))+0.6806)))/(SUM(L54:M54)+2.7225)</f>
        <v>0.62101114036509186</v>
      </c>
      <c r="X54" s="36">
        <f>((L54+1.3613)+(1.65*SQRT(L54-(L54^2/SUM(L54:M54))+0.6806)))/(SUM(L54:M54)+2.7225)</f>
        <v>0.907104163848793</v>
      </c>
      <c r="Y54" s="33">
        <f>S54-V54</f>
        <v>-0.25</v>
      </c>
      <c r="Z54" s="34">
        <f>Y54-SQRT((S54-T54)^2+(V54-X54)^2)</f>
        <v>-0.45799261035339689</v>
      </c>
      <c r="AA54" s="35">
        <f>Y54+SQRT((S54-U54)^2+(V54-W54)^2)</f>
        <v>-5.6659398052469612E-3</v>
      </c>
      <c r="AB54" s="76" t="s">
        <v>44</v>
      </c>
      <c r="AC54" s="7"/>
      <c r="AD54" s="7"/>
    </row>
    <row r="55" spans="2:30" ht="15.75" customHeight="1" thickBot="1">
      <c r="B55" s="83"/>
      <c r="C55" s="88"/>
      <c r="D55" s="91"/>
      <c r="E55" s="39" t="s">
        <v>34</v>
      </c>
      <c r="F55" s="40" t="s">
        <v>29</v>
      </c>
      <c r="G55" s="32">
        <v>19</v>
      </c>
      <c r="H55" s="30">
        <v>0</v>
      </c>
      <c r="I55" s="30">
        <v>0</v>
      </c>
      <c r="J55" s="73">
        <v>1</v>
      </c>
      <c r="L55" s="32">
        <v>20</v>
      </c>
      <c r="M55" s="31">
        <v>0</v>
      </c>
      <c r="N55" s="7"/>
      <c r="O55" s="7"/>
      <c r="P55" s="33">
        <f>SUM(G55,I55)/SUM(G55:J55)</f>
        <v>0.95</v>
      </c>
      <c r="Q55" s="34">
        <f>((SUM(G55,I55)+1.3613)-(1.65*SQRT(SUM(G55,I55)-(SUM(G55,I55)^2/SUM(G55:J55))+0.6806)))/(SUM(G55:J55)+2.7225)</f>
        <v>0.80335937249454403</v>
      </c>
      <c r="R55" s="35">
        <f>((SUM(G55,I55)+1.3613)+(1.65*SQRT(SUM(G55,I55)-(SUM(G55,I55)^2/SUM(G55:J55))+0.6806)))/(SUM(G55:J55)+2.7225)</f>
        <v>0.98881138336418628</v>
      </c>
      <c r="S55" s="33">
        <f>G55/SUM(G55:J55)</f>
        <v>0.95</v>
      </c>
      <c r="T55" s="34">
        <f>((G55+1.3613)-(1.65*SQRT(G55-(G55^2/SUM(G55:J55))+0.6806)))/(SUM(G55:J55)+2.7225)</f>
        <v>0.80335937249454403</v>
      </c>
      <c r="U55" s="35">
        <f>((G55+1.3613)+(1.65*SQRT(G55-(G55^2/SUM(G55:J55))+0.6806)))/(SUM(G55:J55)+2.7225)</f>
        <v>0.98881138336418628</v>
      </c>
      <c r="V55" s="33">
        <f>L55/SUM(L55:M55)</f>
        <v>1</v>
      </c>
      <c r="W55" s="34">
        <f>((L55+1.3613)-(1.65*SQRT(L55-(L55^2/SUM(L55:M55))+0.6806)))/(SUM(L55:M55)+2.7225)</f>
        <v>0.88018813951940023</v>
      </c>
      <c r="X55" s="36">
        <f>((L55+1.3613)+(1.65*SQRT(L55-(L55^2/SUM(L55:M55))+0.6806)))/(SUM(L55:M55)+2.7225)</f>
        <v>1.0000011002209452</v>
      </c>
      <c r="Y55" s="33">
        <f>S55-V55</f>
        <v>-5.0000000000000044E-2</v>
      </c>
      <c r="Z55" s="34">
        <f>Y55-SQRT((S55-T55)^2+(V55-X55)^2)</f>
        <v>-0.19664062750958336</v>
      </c>
      <c r="AA55" s="35">
        <f>Y55+SQRT((S55-U55)^2+(V55-W55)^2)</f>
        <v>7.5941277548167402E-2</v>
      </c>
      <c r="AB55" s="37" t="s">
        <v>28</v>
      </c>
      <c r="AC55" s="7"/>
      <c r="AD55" s="7"/>
    </row>
    <row r="56" spans="2:30" ht="15.75" customHeight="1">
      <c r="B56" s="83"/>
      <c r="C56" s="92" t="s">
        <v>55</v>
      </c>
      <c r="D56" s="93" t="s">
        <v>56</v>
      </c>
      <c r="E56" s="41" t="s">
        <v>24</v>
      </c>
      <c r="F56" s="23" t="s">
        <v>25</v>
      </c>
      <c r="G56" s="22">
        <v>0</v>
      </c>
      <c r="H56" s="42">
        <v>10</v>
      </c>
      <c r="I56" s="42">
        <v>0</v>
      </c>
      <c r="J56" s="23">
        <v>0</v>
      </c>
      <c r="L56" s="22">
        <v>0</v>
      </c>
      <c r="M56" s="23">
        <v>10</v>
      </c>
      <c r="N56" s="7"/>
      <c r="O56" s="7"/>
      <c r="P56" s="33" t="s">
        <v>26</v>
      </c>
      <c r="Q56" s="34" t="s">
        <v>26</v>
      </c>
      <c r="R56" s="35" t="s">
        <v>26</v>
      </c>
      <c r="S56" s="33" t="s">
        <v>26</v>
      </c>
      <c r="T56" s="34" t="s">
        <v>26</v>
      </c>
      <c r="U56" s="35" t="s">
        <v>26</v>
      </c>
      <c r="V56" s="33" t="s">
        <v>26</v>
      </c>
      <c r="W56" s="34" t="s">
        <v>26</v>
      </c>
      <c r="X56" s="36" t="s">
        <v>26</v>
      </c>
      <c r="Y56" s="33" t="s">
        <v>26</v>
      </c>
      <c r="Z56" s="34" t="s">
        <v>26</v>
      </c>
      <c r="AA56" s="35" t="s">
        <v>26</v>
      </c>
      <c r="AB56" s="37" t="s">
        <v>24</v>
      </c>
      <c r="AC56" s="7"/>
      <c r="AD56" s="7"/>
    </row>
    <row r="57" spans="2:30" ht="15.75" customHeight="1">
      <c r="B57" s="84"/>
      <c r="C57" s="94"/>
      <c r="D57" s="95"/>
      <c r="E57" s="43" t="s">
        <v>24</v>
      </c>
      <c r="F57" s="44" t="s">
        <v>27</v>
      </c>
      <c r="G57" s="45">
        <v>13</v>
      </c>
      <c r="H57" s="46">
        <v>7</v>
      </c>
      <c r="I57" s="46">
        <v>0</v>
      </c>
      <c r="J57" s="44">
        <v>0</v>
      </c>
      <c r="L57" s="45">
        <v>13</v>
      </c>
      <c r="M57" s="44">
        <v>7</v>
      </c>
      <c r="N57" s="7"/>
      <c r="O57" s="7"/>
      <c r="P57" s="47">
        <f>SUM(G57,I57)/SUM(G57:J57)</f>
        <v>0.65</v>
      </c>
      <c r="Q57" s="48">
        <f>((SUM(G57,I57)+1.3613)-(1.65*SQRT(SUM(G57,I57)-(SUM(G57,I57)^2/SUM(G57:J57))+0.6806)))/(SUM(G57:J57)+2.7225)</f>
        <v>0.46595518412280768</v>
      </c>
      <c r="R57" s="49">
        <f>((SUM(G57,I57)+1.3613)+(1.65*SQRT(SUM(G57,I57)-(SUM(G57,I57)^2/SUM(G57:J57))+0.6806)))/(SUM(G57:J57)+2.7225)</f>
        <v>0.79810466844623185</v>
      </c>
      <c r="S57" s="47">
        <f>G57/SUM(G57:J57)</f>
        <v>0.65</v>
      </c>
      <c r="T57" s="48">
        <f>((G57+1.3613)-(1.65*SQRT(G57-(G57^2/SUM(G57:J57))+0.6806)))/(SUM(G57:J57)+2.7225)</f>
        <v>0.46595518412280768</v>
      </c>
      <c r="U57" s="49">
        <f>((G57+1.3613)+(1.65*SQRT(G57-(G57^2/SUM(G57:J57))+0.6806)))/(SUM(G57:J57)+2.7225)</f>
        <v>0.79810466844623185</v>
      </c>
      <c r="V57" s="47">
        <f>L57/SUM(L57:M57)</f>
        <v>0.65</v>
      </c>
      <c r="W57" s="48">
        <f>((L57+1.3613)-(1.65*SQRT(L57-(L57^2/SUM(L57:M57))+0.6806)))/(SUM(L57:M57)+2.7225)</f>
        <v>0.46595518412280768</v>
      </c>
      <c r="X57" s="50">
        <f>((L57+1.3613)+(1.65*SQRT(L57-(L57^2/SUM(L57:M57))+0.6806)))/(SUM(L57:M57)+2.7225)</f>
        <v>0.79810466844623185</v>
      </c>
      <c r="Y57" s="47">
        <f>S57-V57</f>
        <v>0</v>
      </c>
      <c r="Z57" s="48">
        <f>Y57-SQRT((S57-T57)^2+(V57-X57)^2)</f>
        <v>-0.23623608332944798</v>
      </c>
      <c r="AA57" s="49">
        <f>Y57+SQRT((S57-U57)^2+(V57-W57)^2)</f>
        <v>0.23623608332944798</v>
      </c>
      <c r="AB57" s="37" t="s">
        <v>28</v>
      </c>
      <c r="AC57" s="7"/>
      <c r="AD57" s="7"/>
    </row>
    <row r="58" spans="2:30" ht="15.75" customHeight="1" thickBot="1">
      <c r="B58" s="85"/>
      <c r="C58" s="88"/>
      <c r="D58" s="91"/>
      <c r="E58" s="39" t="s">
        <v>24</v>
      </c>
      <c r="F58" s="40" t="s">
        <v>29</v>
      </c>
      <c r="G58" s="51">
        <v>20</v>
      </c>
      <c r="H58" s="39">
        <v>0</v>
      </c>
      <c r="I58" s="39">
        <v>0</v>
      </c>
      <c r="J58" s="40">
        <v>0</v>
      </c>
      <c r="L58" s="51">
        <v>20</v>
      </c>
      <c r="M58" s="40">
        <v>0</v>
      </c>
      <c r="N58" s="7"/>
      <c r="O58" s="7"/>
      <c r="P58" s="52">
        <f>SUM(G58,I58)/SUM(G58:J58)</f>
        <v>1</v>
      </c>
      <c r="Q58" s="53">
        <f>((SUM(G58,I58)+1.3613)-(1.65*SQRT(SUM(G58,I58)-(SUM(G58,I58)^2/SUM(G58:J58))+0.6806)))/(SUM(G58:J58)+2.7225)</f>
        <v>0.88018813951940023</v>
      </c>
      <c r="R58" s="54">
        <f>((SUM(G58,I58)+1.3613)+(1.65*SQRT(SUM(G58,I58)-(SUM(G58,I58)^2/SUM(G58:J58))+0.6806)))/(SUM(G58:J58)+2.7225)</f>
        <v>1.0000011002209452</v>
      </c>
      <c r="S58" s="52">
        <f>G58/SUM(G58:J58)</f>
        <v>1</v>
      </c>
      <c r="T58" s="53">
        <f>((G58+1.3613)-(1.65*SQRT(G58-(G58^2/SUM(G58:J58))+0.6806)))/(SUM(G58:J58)+2.7225)</f>
        <v>0.88018813951940023</v>
      </c>
      <c r="U58" s="54">
        <f>((G58+1.3613)+(1.65*SQRT(G58-(G58^2/SUM(G58:J58))+0.6806)))/(SUM(G58:J58)+2.7225)</f>
        <v>1.0000011002209452</v>
      </c>
      <c r="V58" s="52">
        <f>L58/SUM(L58:M58)</f>
        <v>1</v>
      </c>
      <c r="W58" s="53">
        <f>((L58+1.3613)-(1.65*SQRT(L58-(L58^2/SUM(L58:M58))+0.6806)))/(SUM(L58:M58)+2.7225)</f>
        <v>0.88018813951940023</v>
      </c>
      <c r="X58" s="55">
        <f>((L58+1.3613)+(1.65*SQRT(L58-(L58^2/SUM(L58:M58))+0.6806)))/(SUM(L58:M58)+2.7225)</f>
        <v>1.0000011002209452</v>
      </c>
      <c r="Y58" s="52">
        <f>S58-V58</f>
        <v>0</v>
      </c>
      <c r="Z58" s="53">
        <f>Y58-SQRT((S58-T58)^2+(V58-X58)^2)</f>
        <v>-0.11981186048565139</v>
      </c>
      <c r="AA58" s="54">
        <f>Y58+SQRT((S58-U58)^2+(V58-W58)^2)</f>
        <v>0.11981186048565139</v>
      </c>
      <c r="AB58" s="56" t="s">
        <v>28</v>
      </c>
      <c r="AC58" s="7"/>
      <c r="AD58" s="7"/>
    </row>
    <row r="59" spans="2:30" ht="15.75" customHeight="1" thickBot="1"/>
    <row r="60" spans="2:30" ht="15.75" customHeight="1" thickBot="1">
      <c r="G60" s="105" t="s">
        <v>35</v>
      </c>
      <c r="H60" s="106"/>
      <c r="I60" s="106"/>
      <c r="J60" s="107"/>
      <c r="L60" s="108" t="s">
        <v>2</v>
      </c>
      <c r="M60" s="109"/>
      <c r="N60" s="7"/>
      <c r="O60" s="7"/>
      <c r="P60" s="65" t="s">
        <v>36</v>
      </c>
      <c r="Q60" s="66">
        <f>SUM(G62:G64)/SUM(G62:G64,J62:J64)</f>
        <v>0.94</v>
      </c>
    </row>
    <row r="61" spans="2:30" ht="15.75" customHeight="1" thickBot="1">
      <c r="G61" s="59" t="s">
        <v>13</v>
      </c>
      <c r="H61" s="60" t="s">
        <v>14</v>
      </c>
      <c r="I61" s="60" t="s">
        <v>15</v>
      </c>
      <c r="J61" s="61" t="s">
        <v>16</v>
      </c>
      <c r="L61" s="59" t="s">
        <v>13</v>
      </c>
      <c r="M61" s="61" t="s">
        <v>14</v>
      </c>
      <c r="N61" s="7"/>
      <c r="O61" s="7"/>
      <c r="P61" s="67" t="s">
        <v>37</v>
      </c>
      <c r="Q61" s="68">
        <f>SUM(H62:H64)/SUM(H62:I64)</f>
        <v>1</v>
      </c>
    </row>
    <row r="62" spans="2:30" ht="15.75" customHeight="1">
      <c r="F62" s="62" t="s">
        <v>25</v>
      </c>
      <c r="G62" s="20">
        <f>SUM(G50,G53,G56)</f>
        <v>0</v>
      </c>
      <c r="H62" s="21">
        <f t="shared" ref="H62:J62" si="8">SUM(H50,H53,H56)</f>
        <v>30</v>
      </c>
      <c r="I62" s="21">
        <f t="shared" si="8"/>
        <v>0</v>
      </c>
      <c r="J62" s="19">
        <f t="shared" si="8"/>
        <v>0</v>
      </c>
      <c r="L62" s="20">
        <f t="shared" ref="L62:M62" si="9">SUM(L50,L53,L56)</f>
        <v>0</v>
      </c>
      <c r="M62" s="19">
        <f t="shared" si="9"/>
        <v>30</v>
      </c>
      <c r="N62" s="7"/>
      <c r="O62" s="7"/>
      <c r="P62" s="67" t="s">
        <v>38</v>
      </c>
      <c r="Q62" s="68">
        <f>1-Q60</f>
        <v>6.0000000000000053E-2</v>
      </c>
    </row>
    <row r="63" spans="2:30" ht="15.75" customHeight="1">
      <c r="F63" s="62" t="s">
        <v>27</v>
      </c>
      <c r="G63" s="32">
        <f t="shared" ref="G63:J63" si="10">SUM(G51,G54,G57)</f>
        <v>35</v>
      </c>
      <c r="H63" s="30">
        <f t="shared" si="10"/>
        <v>20</v>
      </c>
      <c r="I63" s="30">
        <f t="shared" si="10"/>
        <v>0</v>
      </c>
      <c r="J63" s="31">
        <f t="shared" si="10"/>
        <v>5</v>
      </c>
      <c r="L63" s="32">
        <f t="shared" ref="L63:M63" si="11">SUM(L51,L54,L57)</f>
        <v>40</v>
      </c>
      <c r="M63" s="31">
        <f t="shared" si="11"/>
        <v>20</v>
      </c>
      <c r="N63" s="7"/>
      <c r="O63" s="7"/>
      <c r="P63" s="67" t="s">
        <v>39</v>
      </c>
      <c r="Q63" s="69">
        <f>1-Q61</f>
        <v>0</v>
      </c>
    </row>
    <row r="64" spans="2:30" ht="15.75" customHeight="1" thickBot="1">
      <c r="F64" s="62" t="s">
        <v>29</v>
      </c>
      <c r="G64" s="51">
        <f t="shared" ref="G64:J64" si="12">SUM(G52,G55,G58)</f>
        <v>59</v>
      </c>
      <c r="H64" s="39">
        <f t="shared" si="12"/>
        <v>0</v>
      </c>
      <c r="I64" s="39">
        <f t="shared" si="12"/>
        <v>0</v>
      </c>
      <c r="J64" s="40">
        <f t="shared" si="12"/>
        <v>1</v>
      </c>
      <c r="L64" s="51">
        <f t="shared" ref="L64:M64" si="13">SUM(L52,L55,L58)</f>
        <v>60</v>
      </c>
      <c r="M64" s="40">
        <f t="shared" si="13"/>
        <v>0</v>
      </c>
      <c r="N64" s="7"/>
      <c r="O64" s="7"/>
      <c r="P64" s="70" t="s">
        <v>40</v>
      </c>
      <c r="Q64" s="71">
        <f>SUM(G62:H64)/SUM(G62:J64)</f>
        <v>0.96</v>
      </c>
    </row>
    <row r="65" spans="6:17" ht="15.75" customHeight="1">
      <c r="G65" s="7">
        <f>SUM(G62:G64)</f>
        <v>94</v>
      </c>
      <c r="H65" s="7">
        <f>SUM(H62:H64)</f>
        <v>50</v>
      </c>
      <c r="I65" s="7">
        <f>SUM(I62:I64)</f>
        <v>0</v>
      </c>
      <c r="J65" s="7">
        <f>SUM(J62:J64)</f>
        <v>6</v>
      </c>
      <c r="K65" s="7"/>
      <c r="L65" s="7">
        <f>SUM(L62:L64)</f>
        <v>100</v>
      </c>
      <c r="M65" s="7">
        <f>SUM(M62:M64)</f>
        <v>50</v>
      </c>
    </row>
    <row r="69" spans="6:17" ht="15.75" customHeight="1" thickBot="1">
      <c r="G69" s="64" t="s">
        <v>57</v>
      </c>
    </row>
    <row r="70" spans="6:17" ht="15.75" customHeight="1" thickBot="1">
      <c r="G70" s="105" t="s">
        <v>35</v>
      </c>
      <c r="H70" s="106"/>
      <c r="I70" s="106"/>
      <c r="J70" s="107"/>
      <c r="L70" s="108" t="s">
        <v>2</v>
      </c>
      <c r="M70" s="109"/>
      <c r="P70" s="65" t="s">
        <v>36</v>
      </c>
      <c r="Q70" s="66">
        <f>SUM(G72:G74)/SUM(G72:G74,J72:J74)</f>
        <v>0.94402985074626866</v>
      </c>
    </row>
    <row r="71" spans="6:17" ht="15.75" customHeight="1" thickBot="1">
      <c r="G71" s="59" t="s">
        <v>13</v>
      </c>
      <c r="H71" s="60" t="s">
        <v>14</v>
      </c>
      <c r="I71" s="60" t="s">
        <v>15</v>
      </c>
      <c r="J71" s="61" t="s">
        <v>16</v>
      </c>
      <c r="L71" s="59" t="s">
        <v>13</v>
      </c>
      <c r="M71" s="61" t="s">
        <v>14</v>
      </c>
      <c r="P71" s="67" t="s">
        <v>37</v>
      </c>
      <c r="Q71" s="68">
        <f>SUM(H72:H74)/SUM(H72:I74)</f>
        <v>1</v>
      </c>
    </row>
    <row r="72" spans="6:17" ht="15.75" customHeight="1">
      <c r="F72" s="62" t="s">
        <v>25</v>
      </c>
      <c r="G72" s="20">
        <f t="shared" ref="G72:J74" si="14">SUM(G6,G9,G12,G28,G31,G34,G50,G53,G56)</f>
        <v>0</v>
      </c>
      <c r="H72" s="21">
        <f t="shared" si="14"/>
        <v>90</v>
      </c>
      <c r="I72" s="21">
        <f t="shared" si="14"/>
        <v>0</v>
      </c>
      <c r="J72" s="19">
        <f t="shared" si="14"/>
        <v>0</v>
      </c>
      <c r="L72" s="20">
        <f t="shared" ref="L72:M74" si="15">SUM(L6,L9,L12,L28,L31,L34,L50,L53,L56)</f>
        <v>0</v>
      </c>
      <c r="M72" s="19">
        <f t="shared" si="15"/>
        <v>90</v>
      </c>
      <c r="P72" s="67" t="s">
        <v>38</v>
      </c>
      <c r="Q72" s="68">
        <f>1-Q70</f>
        <v>5.5970149253731338E-2</v>
      </c>
    </row>
    <row r="73" spans="6:17" ht="15.75" customHeight="1">
      <c r="F73" s="62" t="s">
        <v>27</v>
      </c>
      <c r="G73" s="32">
        <f t="shared" si="14"/>
        <v>94</v>
      </c>
      <c r="H73" s="30">
        <f t="shared" si="14"/>
        <v>77</v>
      </c>
      <c r="I73" s="30">
        <f t="shared" si="14"/>
        <v>0</v>
      </c>
      <c r="J73" s="31">
        <f t="shared" si="14"/>
        <v>9</v>
      </c>
      <c r="L73" s="32">
        <f t="shared" si="15"/>
        <v>103</v>
      </c>
      <c r="M73" s="31">
        <f t="shared" si="15"/>
        <v>77</v>
      </c>
      <c r="P73" s="67" t="s">
        <v>39</v>
      </c>
      <c r="Q73" s="69">
        <f>1-Q71</f>
        <v>0</v>
      </c>
    </row>
    <row r="74" spans="6:17" ht="15.75" customHeight="1" thickBot="1">
      <c r="F74" s="62" t="s">
        <v>29</v>
      </c>
      <c r="G74" s="51">
        <f t="shared" si="14"/>
        <v>159</v>
      </c>
      <c r="H74" s="39">
        <f t="shared" si="14"/>
        <v>15</v>
      </c>
      <c r="I74" s="39">
        <f t="shared" si="14"/>
        <v>0</v>
      </c>
      <c r="J74" s="40">
        <f t="shared" si="14"/>
        <v>6</v>
      </c>
      <c r="L74" s="51">
        <f t="shared" si="15"/>
        <v>165</v>
      </c>
      <c r="M74" s="40">
        <f t="shared" si="15"/>
        <v>15</v>
      </c>
      <c r="P74" s="70" t="s">
        <v>40</v>
      </c>
      <c r="Q74" s="71">
        <f>SUM(G72:H74)/SUM(G72:J74)</f>
        <v>0.96666666666666667</v>
      </c>
    </row>
    <row r="75" spans="6:17" ht="15.75" customHeight="1">
      <c r="G75" s="7">
        <f>SUM(G72:G74)</f>
        <v>253</v>
      </c>
      <c r="H75" s="7">
        <f t="shared" ref="H75:J75" si="16">SUM(H72:H74)</f>
        <v>182</v>
      </c>
      <c r="I75" s="7">
        <f t="shared" si="16"/>
        <v>0</v>
      </c>
      <c r="J75" s="7">
        <f t="shared" si="16"/>
        <v>15</v>
      </c>
      <c r="K75" s="7"/>
      <c r="L75" s="7">
        <f t="shared" ref="L75:M75" si="17">SUM(L72:L74)</f>
        <v>268</v>
      </c>
      <c r="M75" s="7">
        <f t="shared" si="17"/>
        <v>182</v>
      </c>
    </row>
  </sheetData>
  <mergeCells count="50">
    <mergeCell ref="L70:M70"/>
    <mergeCell ref="G16:J16"/>
    <mergeCell ref="L16:M16"/>
    <mergeCell ref="G38:J38"/>
    <mergeCell ref="L38:M38"/>
    <mergeCell ref="G60:J60"/>
    <mergeCell ref="L60:M60"/>
    <mergeCell ref="G70:J70"/>
    <mergeCell ref="AB48:AB49"/>
    <mergeCell ref="B50:B58"/>
    <mergeCell ref="C50:C52"/>
    <mergeCell ref="D50:D52"/>
    <mergeCell ref="C53:C55"/>
    <mergeCell ref="D53:D55"/>
    <mergeCell ref="C56:C58"/>
    <mergeCell ref="D56:D58"/>
    <mergeCell ref="G48:J48"/>
    <mergeCell ref="L48:M48"/>
    <mergeCell ref="P48:R48"/>
    <mergeCell ref="S48:U48"/>
    <mergeCell ref="V48:X48"/>
    <mergeCell ref="Y48:AA48"/>
    <mergeCell ref="AB26:AB27"/>
    <mergeCell ref="B28:B36"/>
    <mergeCell ref="C28:C30"/>
    <mergeCell ref="D28:D30"/>
    <mergeCell ref="C31:C33"/>
    <mergeCell ref="D31:D33"/>
    <mergeCell ref="C34:C36"/>
    <mergeCell ref="D34:D36"/>
    <mergeCell ref="G26:J26"/>
    <mergeCell ref="L26:M26"/>
    <mergeCell ref="P26:R26"/>
    <mergeCell ref="S26:U26"/>
    <mergeCell ref="V26:X26"/>
    <mergeCell ref="Y26:AA26"/>
    <mergeCell ref="AB4:AB5"/>
    <mergeCell ref="B6:B14"/>
    <mergeCell ref="C6:C8"/>
    <mergeCell ref="D6:D8"/>
    <mergeCell ref="C9:C11"/>
    <mergeCell ref="D9:D11"/>
    <mergeCell ref="C12:C14"/>
    <mergeCell ref="D12:D14"/>
    <mergeCell ref="G4:J4"/>
    <mergeCell ref="L4:M4"/>
    <mergeCell ref="P4:R4"/>
    <mergeCell ref="S4:U4"/>
    <mergeCell ref="V4:X4"/>
    <mergeCell ref="Y4:AA4"/>
  </mergeCells>
  <phoneticPr fontId="0" type="noConversion"/>
  <conditionalFormatting sqref="E7:J8 E10:J11 E14">
    <cfRule type="expression" dxfId="39" priority="27" stopIfTrue="1">
      <formula>#REF!="Fail"</formula>
    </cfRule>
  </conditionalFormatting>
  <conditionalFormatting sqref="E29:J30 E32:J33 E36">
    <cfRule type="expression" dxfId="38" priority="22" stopIfTrue="1">
      <formula>#REF!="Fail"</formula>
    </cfRule>
  </conditionalFormatting>
  <conditionalFormatting sqref="E51:J52 E54:J55 E58">
    <cfRule type="expression" dxfId="37" priority="17" stopIfTrue="1">
      <formula>#REF!="Fail"</formula>
    </cfRule>
  </conditionalFormatting>
  <conditionalFormatting sqref="F6:J6">
    <cfRule type="expression" dxfId="36" priority="26" stopIfTrue="1">
      <formula>#REF!="Fail"</formula>
    </cfRule>
  </conditionalFormatting>
  <conditionalFormatting sqref="F9:J9">
    <cfRule type="expression" dxfId="35" priority="25" stopIfTrue="1">
      <formula>#REF!="Fail"</formula>
    </cfRule>
  </conditionalFormatting>
  <conditionalFormatting sqref="F12:J14">
    <cfRule type="expression" dxfId="34" priority="24" stopIfTrue="1">
      <formula>#REF!="Fail"</formula>
    </cfRule>
  </conditionalFormatting>
  <conditionalFormatting sqref="F28:J28">
    <cfRule type="expression" dxfId="33" priority="21" stopIfTrue="1">
      <formula>#REF!="Fail"</formula>
    </cfRule>
  </conditionalFormatting>
  <conditionalFormatting sqref="F31:J31">
    <cfRule type="expression" dxfId="32" priority="20" stopIfTrue="1">
      <formula>#REF!="Fail"</formula>
    </cfRule>
  </conditionalFormatting>
  <conditionalFormatting sqref="F34:J36">
    <cfRule type="expression" dxfId="31" priority="19" stopIfTrue="1">
      <formula>#REF!="Fail"</formula>
    </cfRule>
  </conditionalFormatting>
  <conditionalFormatting sqref="F50:J50">
    <cfRule type="expression" dxfId="30" priority="16" stopIfTrue="1">
      <formula>#REF!="Fail"</formula>
    </cfRule>
  </conditionalFormatting>
  <conditionalFormatting sqref="F53:J53">
    <cfRule type="expression" dxfId="29" priority="15" stopIfTrue="1">
      <formula>#REF!="Fail"</formula>
    </cfRule>
  </conditionalFormatting>
  <conditionalFormatting sqref="F56:J58">
    <cfRule type="expression" dxfId="28" priority="14" stopIfTrue="1">
      <formula>#REF!="Fail"</formula>
    </cfRule>
  </conditionalFormatting>
  <conditionalFormatting sqref="G18:J20">
    <cfRule type="expression" dxfId="27" priority="7" stopIfTrue="1">
      <formula>#REF!="Fail"</formula>
    </cfRule>
  </conditionalFormatting>
  <conditionalFormatting sqref="G40:J42">
    <cfRule type="expression" dxfId="26" priority="4" stopIfTrue="1">
      <formula>#REF!="Fail"</formula>
    </cfRule>
  </conditionalFormatting>
  <conditionalFormatting sqref="G62:J64">
    <cfRule type="expression" dxfId="25" priority="1" stopIfTrue="1">
      <formula>#REF!="Fail"</formula>
    </cfRule>
  </conditionalFormatting>
  <conditionalFormatting sqref="G72:J74">
    <cfRule type="expression" dxfId="24" priority="12" stopIfTrue="1">
      <formula>#REF!="Fail"</formula>
    </cfRule>
  </conditionalFormatting>
  <conditionalFormatting sqref="L6:M15 L28:M36 L50:M58 L72:M74">
    <cfRule type="expression" dxfId="23" priority="31" stopIfTrue="1">
      <formula>#REF!="Fail"</formula>
    </cfRule>
  </conditionalFormatting>
  <conditionalFormatting sqref="L18:M20 L22:M25">
    <cfRule type="expression" dxfId="22" priority="9" stopIfTrue="1">
      <formula>#REF!="Fail"</formula>
    </cfRule>
  </conditionalFormatting>
  <conditionalFormatting sqref="L40:M42">
    <cfRule type="expression" dxfId="21" priority="6" stopIfTrue="1">
      <formula>#REF!="Fail"</formula>
    </cfRule>
  </conditionalFormatting>
  <conditionalFormatting sqref="L62:M64">
    <cfRule type="expression" dxfId="20" priority="3" stopIfTrue="1">
      <formula>#REF!="Fail"</formula>
    </cfRule>
  </conditionalFormatting>
  <pageMargins left="0.25" right="0.25" top="0.75" bottom="0.75" header="0.3" footer="0.3"/>
  <pageSetup scale="37" orientation="landscape" r:id="rId1"/>
  <headerFooter alignWithMargins="0">
    <oddHeader>&amp;R&amp;"Calibri"&amp;12&amp;K000000 Unclassified / Non classifié&amp;1#_x000D_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3E5FB-D03C-4259-80CE-5F596294BEC7}">
  <sheetPr>
    <pageSetUpPr fitToPage="1"/>
  </sheetPr>
  <dimension ref="B2:AD75"/>
  <sheetViews>
    <sheetView tabSelected="1" topLeftCell="A51" workbookViewId="0">
      <selection activeCell="N77" sqref="N77"/>
    </sheetView>
  </sheetViews>
  <sheetFormatPr defaultColWidth="11.42578125" defaultRowHeight="15.75" customHeight="1"/>
  <cols>
    <col min="1" max="1" width="13" style="1" customWidth="1"/>
    <col min="2" max="2" width="12.85546875" style="1" customWidth="1"/>
    <col min="3" max="3" width="15.7109375" style="1" customWidth="1"/>
    <col min="4" max="4" width="13.5703125" style="2" customWidth="1"/>
    <col min="5" max="5" width="16" style="1" customWidth="1"/>
    <col min="6" max="10" width="11.42578125" style="1"/>
    <col min="11" max="11" width="4" style="1" customWidth="1"/>
    <col min="12" max="13" width="11.42578125" style="1"/>
    <col min="14" max="14" width="4" style="1" bestFit="1" customWidth="1"/>
    <col min="15" max="15" width="3.42578125" style="1" customWidth="1"/>
    <col min="16" max="27" width="11.42578125" style="1"/>
    <col min="28" max="28" width="11.42578125" style="3"/>
    <col min="29" max="16384" width="11.42578125" style="1"/>
  </cols>
  <sheetData>
    <row r="2" spans="2:30" ht="24">
      <c r="B2" s="72" t="s">
        <v>58</v>
      </c>
    </row>
    <row r="3" spans="2:30" ht="15.75" customHeight="1" thickBot="1"/>
    <row r="4" spans="2:30" ht="15.75" customHeight="1" thickBot="1">
      <c r="B4" s="4"/>
      <c r="C4" s="4"/>
      <c r="D4" s="4"/>
      <c r="E4" s="4"/>
      <c r="F4" s="4"/>
      <c r="G4" s="96" t="s">
        <v>59</v>
      </c>
      <c r="H4" s="97"/>
      <c r="I4" s="97"/>
      <c r="J4" s="98"/>
      <c r="K4" s="6"/>
      <c r="L4" s="96" t="s">
        <v>2</v>
      </c>
      <c r="M4" s="99"/>
      <c r="N4" s="7"/>
      <c r="O4" s="7"/>
      <c r="P4" s="100" t="s">
        <v>3</v>
      </c>
      <c r="Q4" s="101"/>
      <c r="R4" s="102"/>
      <c r="S4" s="103" t="s">
        <v>4</v>
      </c>
      <c r="T4" s="101"/>
      <c r="U4" s="104"/>
      <c r="V4" s="100" t="s">
        <v>5</v>
      </c>
      <c r="W4" s="101"/>
      <c r="X4" s="102"/>
      <c r="Y4" s="103" t="s">
        <v>6</v>
      </c>
      <c r="Z4" s="101"/>
      <c r="AA4" s="104"/>
      <c r="AB4" s="80" t="s">
        <v>7</v>
      </c>
      <c r="AC4" s="7"/>
      <c r="AD4" s="7"/>
    </row>
    <row r="5" spans="2:30" ht="15.75" customHeight="1" thickBot="1">
      <c r="B5" s="5" t="s">
        <v>8</v>
      </c>
      <c r="C5" s="8" t="s">
        <v>9</v>
      </c>
      <c r="D5" s="9" t="s">
        <v>10</v>
      </c>
      <c r="E5" s="9" t="s">
        <v>11</v>
      </c>
      <c r="F5" s="10" t="s">
        <v>12</v>
      </c>
      <c r="G5" s="8" t="s">
        <v>13</v>
      </c>
      <c r="H5" s="9" t="s">
        <v>14</v>
      </c>
      <c r="I5" s="9" t="s">
        <v>15</v>
      </c>
      <c r="J5" s="11" t="s">
        <v>16</v>
      </c>
      <c r="L5" s="8" t="s">
        <v>13</v>
      </c>
      <c r="M5" s="11" t="s">
        <v>14</v>
      </c>
      <c r="N5" s="12"/>
      <c r="O5" s="12"/>
      <c r="P5" s="13" t="s">
        <v>17</v>
      </c>
      <c r="Q5" s="14" t="s">
        <v>18</v>
      </c>
      <c r="R5" s="15" t="s">
        <v>19</v>
      </c>
      <c r="S5" s="16" t="s">
        <v>17</v>
      </c>
      <c r="T5" s="14" t="s">
        <v>18</v>
      </c>
      <c r="U5" s="17" t="s">
        <v>19</v>
      </c>
      <c r="V5" s="13" t="s">
        <v>17</v>
      </c>
      <c r="W5" s="14" t="s">
        <v>18</v>
      </c>
      <c r="X5" s="15" t="s">
        <v>19</v>
      </c>
      <c r="Y5" s="16" t="s">
        <v>20</v>
      </c>
      <c r="Z5" s="14" t="s">
        <v>18</v>
      </c>
      <c r="AA5" s="17" t="s">
        <v>19</v>
      </c>
      <c r="AB5" s="81"/>
      <c r="AC5" s="12"/>
      <c r="AD5" s="12"/>
    </row>
    <row r="6" spans="2:30" ht="15.75" customHeight="1">
      <c r="B6" s="82" t="s">
        <v>21</v>
      </c>
      <c r="C6" s="86" t="s">
        <v>22</v>
      </c>
      <c r="D6" s="89" t="s">
        <v>23</v>
      </c>
      <c r="E6" s="18" t="s">
        <v>24</v>
      </c>
      <c r="F6" s="19" t="s">
        <v>25</v>
      </c>
      <c r="G6" s="20">
        <v>0</v>
      </c>
      <c r="H6" s="21">
        <v>10</v>
      </c>
      <c r="I6" s="21">
        <v>0</v>
      </c>
      <c r="J6" s="19">
        <v>0</v>
      </c>
      <c r="L6" s="22">
        <v>0</v>
      </c>
      <c r="M6" s="23">
        <v>10</v>
      </c>
      <c r="N6" s="7"/>
      <c r="O6" s="7"/>
      <c r="P6" s="24" t="s">
        <v>26</v>
      </c>
      <c r="Q6" s="25" t="s">
        <v>26</v>
      </c>
      <c r="R6" s="26" t="s">
        <v>26</v>
      </c>
      <c r="S6" s="27" t="s">
        <v>26</v>
      </c>
      <c r="T6" s="25" t="s">
        <v>26</v>
      </c>
      <c r="U6" s="26" t="s">
        <v>26</v>
      </c>
      <c r="V6" s="27" t="s">
        <v>26</v>
      </c>
      <c r="W6" s="25" t="s">
        <v>26</v>
      </c>
      <c r="X6" s="28" t="s">
        <v>26</v>
      </c>
      <c r="Y6" s="27" t="s">
        <v>26</v>
      </c>
      <c r="Z6" s="25" t="s">
        <v>26</v>
      </c>
      <c r="AA6" s="26" t="s">
        <v>26</v>
      </c>
      <c r="AB6" s="29" t="s">
        <v>24</v>
      </c>
      <c r="AC6" s="7"/>
      <c r="AD6" s="7"/>
    </row>
    <row r="7" spans="2:30" ht="15.75" customHeight="1">
      <c r="B7" s="83"/>
      <c r="C7" s="87"/>
      <c r="D7" s="90"/>
      <c r="E7" s="30" t="s">
        <v>24</v>
      </c>
      <c r="F7" s="31" t="s">
        <v>27</v>
      </c>
      <c r="G7" s="32">
        <v>10</v>
      </c>
      <c r="H7" s="30">
        <v>10</v>
      </c>
      <c r="I7" s="30">
        <v>0</v>
      </c>
      <c r="J7" s="31">
        <v>0</v>
      </c>
      <c r="L7" s="32">
        <v>10</v>
      </c>
      <c r="M7" s="31">
        <v>10</v>
      </c>
      <c r="N7" s="7"/>
      <c r="O7" s="7"/>
      <c r="P7" s="33">
        <f>SUM(G7,I7)/SUM(G7:J7)</f>
        <v>0.5</v>
      </c>
      <c r="Q7" s="34">
        <f>((SUM(G7,I7)+1.3613)-(1.65*SQRT(SUM(G7,I7)-(SUM(G7,I7)^2/SUM(G7:J7))+0.6806)))/(SUM(G7:J7)+2.7225)</f>
        <v>0.32693094787634341</v>
      </c>
      <c r="R7" s="35">
        <f>((SUM(G7,I7)+1.3613)+(1.65*SQRT(SUM(G7,I7)-(SUM(G7,I7)^2/SUM(G7:J7))+0.6806)))/(SUM(G7:J7)+2.7225)</f>
        <v>0.6730734530478506</v>
      </c>
      <c r="S7" s="33">
        <f>G7/SUM(G7:J7)</f>
        <v>0.5</v>
      </c>
      <c r="T7" s="34">
        <f>((G7+1.3613)-(1.65*SQRT(G7-(G7^2/SUM(G7:J7))+0.6806)))/(SUM(G7:J7)+2.7225)</f>
        <v>0.32693094787634341</v>
      </c>
      <c r="U7" s="35">
        <f>((G7+1.3613)+(1.65*SQRT(G7-(G7^2/SUM(G7:J7))+0.6806)))/(SUM(G7:J7)+2.7225)</f>
        <v>0.6730734530478506</v>
      </c>
      <c r="V7" s="33">
        <f>L7/SUM(L7:M7)</f>
        <v>0.5</v>
      </c>
      <c r="W7" s="34">
        <f>((L7+1.3613)-(1.65*SQRT(L7-(L7^2/SUM(L7:M7))+0.6806)))/(SUM(L7:M7)+2.7225)</f>
        <v>0.32693094787634341</v>
      </c>
      <c r="X7" s="36">
        <f>((L7+1.3613)+(1.65*SQRT(L7-(L7^2/SUM(L7:M7))+0.6806)))/(SUM(L7:M7)+2.7225)</f>
        <v>0.6730734530478506</v>
      </c>
      <c r="Y7" s="33">
        <f>S7-V7</f>
        <v>0</v>
      </c>
      <c r="Z7" s="34">
        <f>Y7-SQRT((S7-T7)^2+(V7-X7)^2)</f>
        <v>-0.24475971268345514</v>
      </c>
      <c r="AA7" s="35">
        <f>Y7+SQRT((S7-U7)^2+(V7-W7)^2)</f>
        <v>0.24475971268345514</v>
      </c>
      <c r="AB7" s="37" t="s">
        <v>28</v>
      </c>
      <c r="AC7" s="38"/>
      <c r="AD7" s="7"/>
    </row>
    <row r="8" spans="2:30" ht="15.75" customHeight="1" thickBot="1">
      <c r="B8" s="83"/>
      <c r="C8" s="88"/>
      <c r="D8" s="91"/>
      <c r="E8" s="39" t="s">
        <v>24</v>
      </c>
      <c r="F8" s="40" t="s">
        <v>29</v>
      </c>
      <c r="G8" s="32">
        <v>14</v>
      </c>
      <c r="H8" s="30">
        <v>6</v>
      </c>
      <c r="I8" s="30">
        <v>0</v>
      </c>
      <c r="J8" s="31">
        <v>0</v>
      </c>
      <c r="L8" s="32">
        <v>14</v>
      </c>
      <c r="M8" s="31">
        <v>6</v>
      </c>
      <c r="N8" s="7"/>
      <c r="O8" s="7"/>
      <c r="P8" s="33">
        <f>SUM(G8,I8)/SUM(G8:J8)</f>
        <v>0.7</v>
      </c>
      <c r="Q8" s="34">
        <f>((SUM(G8,I8)+1.3613)-(1.65*SQRT(SUM(G8,I8)-(SUM(G8,I8)^2/SUM(G8:J8))+0.6806)))/(SUM(G8:J8)+2.7225)</f>
        <v>0.51561697855622868</v>
      </c>
      <c r="R8" s="35">
        <f>((SUM(G8,I8)+1.3613)+(1.65*SQRT(SUM(G8,I8)-(SUM(G8,I8)^2/SUM(G8:J8))+0.6806)))/(SUM(G8:J8)+2.7225)</f>
        <v>0.83646135789442599</v>
      </c>
      <c r="S8" s="33">
        <f>G8/SUM(G8:J8)</f>
        <v>0.7</v>
      </c>
      <c r="T8" s="34">
        <f>((G8+1.3613)-(1.65*SQRT(G8-(G8^2/SUM(G8:J8))+0.6806)))/(SUM(G8:J8)+2.7225)</f>
        <v>0.51561697855622868</v>
      </c>
      <c r="U8" s="35">
        <f>((G8+1.3613)+(1.65*SQRT(G8-(G8^2/SUM(G8:J8))+0.6806)))/(SUM(G8:J8)+2.7225)</f>
        <v>0.83646135789442599</v>
      </c>
      <c r="V8" s="33">
        <f>L8/SUM(L8:M8)</f>
        <v>0.7</v>
      </c>
      <c r="W8" s="34">
        <f>((L8+1.3613)-(1.65*SQRT(L8-(L8^2/SUM(L8:M8))+0.6806)))/(SUM(L8:M8)+2.7225)</f>
        <v>0.51561697855622868</v>
      </c>
      <c r="X8" s="36">
        <f>((L8+1.3613)+(1.65*SQRT(L8-(L8^2/SUM(L8:M8))+0.6806)))/(SUM(L8:M8)+2.7225)</f>
        <v>0.83646135789442599</v>
      </c>
      <c r="Y8" s="33">
        <f>S8-V8</f>
        <v>0</v>
      </c>
      <c r="Z8" s="34">
        <f>Y8-SQRT((S8-T8)^2+(V8-X8)^2)</f>
        <v>-0.2293878828428495</v>
      </c>
      <c r="AA8" s="35">
        <f>Y8+SQRT((S8-U8)^2+(V8-W8)^2)</f>
        <v>0.2293878828428495</v>
      </c>
      <c r="AB8" s="37" t="s">
        <v>28</v>
      </c>
      <c r="AC8" s="7"/>
      <c r="AD8" s="7"/>
    </row>
    <row r="9" spans="2:30" ht="15.75" customHeight="1">
      <c r="B9" s="83"/>
      <c r="C9" s="92" t="s">
        <v>30</v>
      </c>
      <c r="D9" s="93" t="s">
        <v>31</v>
      </c>
      <c r="E9" s="41" t="s">
        <v>24</v>
      </c>
      <c r="F9" s="23" t="s">
        <v>25</v>
      </c>
      <c r="G9" s="22">
        <v>0</v>
      </c>
      <c r="H9" s="42">
        <v>10</v>
      </c>
      <c r="I9" s="42">
        <v>0</v>
      </c>
      <c r="J9" s="23">
        <v>0</v>
      </c>
      <c r="L9" s="22">
        <v>0</v>
      </c>
      <c r="M9" s="23">
        <v>10</v>
      </c>
      <c r="N9" s="7"/>
      <c r="O9" s="7"/>
      <c r="P9" s="33" t="s">
        <v>26</v>
      </c>
      <c r="Q9" s="34" t="s">
        <v>26</v>
      </c>
      <c r="R9" s="35" t="s">
        <v>26</v>
      </c>
      <c r="S9" s="33" t="s">
        <v>26</v>
      </c>
      <c r="T9" s="34" t="s">
        <v>26</v>
      </c>
      <c r="U9" s="35" t="s">
        <v>26</v>
      </c>
      <c r="V9" s="33" t="s">
        <v>26</v>
      </c>
      <c r="W9" s="34" t="s">
        <v>26</v>
      </c>
      <c r="X9" s="36" t="s">
        <v>26</v>
      </c>
      <c r="Y9" s="33" t="s">
        <v>26</v>
      </c>
      <c r="Z9" s="34" t="s">
        <v>26</v>
      </c>
      <c r="AA9" s="35" t="s">
        <v>26</v>
      </c>
      <c r="AB9" s="37" t="s">
        <v>24</v>
      </c>
      <c r="AC9" s="7"/>
      <c r="AD9" s="7"/>
    </row>
    <row r="10" spans="2:30" ht="15.75" customHeight="1">
      <c r="B10" s="83"/>
      <c r="C10" s="87"/>
      <c r="D10" s="90"/>
      <c r="E10" s="30" t="s">
        <v>24</v>
      </c>
      <c r="F10" s="31" t="s">
        <v>27</v>
      </c>
      <c r="G10" s="32">
        <v>7</v>
      </c>
      <c r="H10" s="30">
        <v>12</v>
      </c>
      <c r="I10" s="30">
        <v>0</v>
      </c>
      <c r="J10" s="73">
        <v>1</v>
      </c>
      <c r="L10" s="32">
        <v>8</v>
      </c>
      <c r="M10" s="31">
        <v>12</v>
      </c>
      <c r="N10" s="7"/>
      <c r="O10" s="7"/>
      <c r="P10" s="33">
        <f>SUM(G10,I10)/SUM(G10:J10)</f>
        <v>0.35</v>
      </c>
      <c r="Q10" s="34">
        <f>((SUM(G10,I10)+1.3613)-(1.65*SQRT(SUM(G10,I10)-(SUM(G10,I10)^2/SUM(G10:J10))+0.6806)))/(SUM(G10:J10)+2.7225)</f>
        <v>0.20189973247796225</v>
      </c>
      <c r="R10" s="35">
        <f>((SUM(G10,I10)+1.3613)+(1.65*SQRT(SUM(G10,I10)-(SUM(G10,I10)^2/SUM(G10:J10))+0.6806)))/(SUM(G10:J10)+2.7225)</f>
        <v>0.53404921680138639</v>
      </c>
      <c r="S10" s="33">
        <f>G10/SUM(G10:J10)</f>
        <v>0.35</v>
      </c>
      <c r="T10" s="34">
        <f>((G10+1.3613)-(1.65*SQRT(G10-(G10^2/SUM(G10:J10))+0.6806)))/(SUM(G10:J10)+2.7225)</f>
        <v>0.20189973247796225</v>
      </c>
      <c r="U10" s="35">
        <f>((G10+1.3613)+(1.65*SQRT(G10-(G10^2/SUM(G10:J10))+0.6806)))/(SUM(G10:J10)+2.7225)</f>
        <v>0.53404921680138639</v>
      </c>
      <c r="V10" s="33">
        <f>L10/SUM(L10:M10)</f>
        <v>0.4</v>
      </c>
      <c r="W10" s="34">
        <f>((L10+1.3613)-(1.65*SQRT(L10-(L10^2/SUM(L10:M10))+0.6806)))/(SUM(L10:M10)+2.7225)</f>
        <v>0.24198647075497337</v>
      </c>
      <c r="X10" s="36">
        <f>((L10+1.3613)+(1.65*SQRT(L10-(L10^2/SUM(L10:M10))+0.6806)))/(SUM(L10:M10)+2.7225)</f>
        <v>0.5819809624059904</v>
      </c>
      <c r="Y10" s="33">
        <f>S10-V10</f>
        <v>-5.0000000000000044E-2</v>
      </c>
      <c r="Z10" s="34">
        <f>Y10-SQRT((S10-T10)^2+(V10-X10)^2)</f>
        <v>-0.28462898354276189</v>
      </c>
      <c r="AA10" s="35">
        <f>Y10+SQRT((S10-U10)^2+(V10-W10)^2)</f>
        <v>0.19257450325554129</v>
      </c>
      <c r="AB10" s="37" t="s">
        <v>28</v>
      </c>
      <c r="AC10" s="7"/>
      <c r="AD10" s="7"/>
    </row>
    <row r="11" spans="2:30" ht="15.75" customHeight="1" thickBot="1">
      <c r="B11" s="83"/>
      <c r="C11" s="88"/>
      <c r="D11" s="91"/>
      <c r="E11" s="39" t="s">
        <v>24</v>
      </c>
      <c r="F11" s="40" t="s">
        <v>29</v>
      </c>
      <c r="G11" s="32">
        <v>20</v>
      </c>
      <c r="H11" s="30">
        <v>0</v>
      </c>
      <c r="I11" s="30">
        <v>0</v>
      </c>
      <c r="J11" s="31">
        <v>0</v>
      </c>
      <c r="L11" s="32">
        <v>20</v>
      </c>
      <c r="M11" s="31">
        <v>0</v>
      </c>
      <c r="N11" s="7"/>
      <c r="O11" s="7"/>
      <c r="P11" s="33">
        <f>SUM(G11,I11)/SUM(G11:J11)</f>
        <v>1</v>
      </c>
      <c r="Q11" s="34">
        <f>((SUM(G11,I11)+1.3613)-(1.65*SQRT(SUM(G11,I11)-(SUM(G11,I11)^2/SUM(G11:J11))+0.6806)))/(SUM(G11:J11)+2.7225)</f>
        <v>0.88018813951940023</v>
      </c>
      <c r="R11" s="35">
        <f>((SUM(G11,I11)+1.3613)+(1.65*SQRT(SUM(G11,I11)-(SUM(G11,I11)^2/SUM(G11:J11))+0.6806)))/(SUM(G11:J11)+2.7225)</f>
        <v>1.0000011002209452</v>
      </c>
      <c r="S11" s="33">
        <f>G11/SUM(G11:J11)</f>
        <v>1</v>
      </c>
      <c r="T11" s="34">
        <f>((G11+1.3613)-(1.65*SQRT(G11-(G11^2/SUM(G11:J11))+0.6806)))/(SUM(G11:J11)+2.7225)</f>
        <v>0.88018813951940023</v>
      </c>
      <c r="U11" s="35">
        <f>((G11+1.3613)+(1.65*SQRT(G11-(G11^2/SUM(G11:J11))+0.6806)))/(SUM(G11:J11)+2.7225)</f>
        <v>1.0000011002209452</v>
      </c>
      <c r="V11" s="33">
        <f>L11/SUM(L11:M11)</f>
        <v>1</v>
      </c>
      <c r="W11" s="34">
        <f>((L11+1.3613)-(1.65*SQRT(L11-(L11^2/SUM(L11:M11))+0.6806)))/(SUM(L11:M11)+2.7225)</f>
        <v>0.88018813951940023</v>
      </c>
      <c r="X11" s="36">
        <f>((L11+1.3613)+(1.65*SQRT(L11-(L11^2/SUM(L11:M11))+0.6806)))/(SUM(L11:M11)+2.7225)</f>
        <v>1.0000011002209452</v>
      </c>
      <c r="Y11" s="33">
        <f>S11-V11</f>
        <v>0</v>
      </c>
      <c r="Z11" s="34">
        <f>Y11-SQRT((S11-T11)^2+(V11-X11)^2)</f>
        <v>-0.11981186048565139</v>
      </c>
      <c r="AA11" s="35">
        <f>Y11+SQRT((S11-U11)^2+(V11-W11)^2)</f>
        <v>0.11981186048565139</v>
      </c>
      <c r="AB11" s="37" t="s">
        <v>28</v>
      </c>
      <c r="AC11" s="7"/>
      <c r="AD11" s="7"/>
    </row>
    <row r="12" spans="2:30" ht="15.75" customHeight="1">
      <c r="B12" s="83"/>
      <c r="C12" s="92" t="s">
        <v>32</v>
      </c>
      <c r="D12" s="93" t="s">
        <v>33</v>
      </c>
      <c r="E12" s="41" t="s">
        <v>34</v>
      </c>
      <c r="F12" s="23" t="s">
        <v>25</v>
      </c>
      <c r="G12" s="22">
        <v>0</v>
      </c>
      <c r="H12" s="42">
        <v>10</v>
      </c>
      <c r="I12" s="42">
        <v>0</v>
      </c>
      <c r="J12" s="23">
        <v>0</v>
      </c>
      <c r="L12" s="22">
        <v>0</v>
      </c>
      <c r="M12" s="23">
        <v>10</v>
      </c>
      <c r="N12" s="7"/>
      <c r="O12" s="7"/>
      <c r="P12" s="33" t="s">
        <v>26</v>
      </c>
      <c r="Q12" s="34" t="s">
        <v>26</v>
      </c>
      <c r="R12" s="35" t="s">
        <v>26</v>
      </c>
      <c r="S12" s="33" t="s">
        <v>26</v>
      </c>
      <c r="T12" s="34" t="s">
        <v>26</v>
      </c>
      <c r="U12" s="35" t="s">
        <v>26</v>
      </c>
      <c r="V12" s="33" t="s">
        <v>26</v>
      </c>
      <c r="W12" s="34" t="s">
        <v>26</v>
      </c>
      <c r="X12" s="36" t="s">
        <v>26</v>
      </c>
      <c r="Y12" s="33" t="s">
        <v>26</v>
      </c>
      <c r="Z12" s="34" t="s">
        <v>26</v>
      </c>
      <c r="AA12" s="35" t="s">
        <v>26</v>
      </c>
      <c r="AB12" s="37" t="s">
        <v>24</v>
      </c>
      <c r="AC12" s="7"/>
      <c r="AD12" s="7"/>
    </row>
    <row r="13" spans="2:30" ht="15.75" customHeight="1">
      <c r="B13" s="84"/>
      <c r="C13" s="94"/>
      <c r="D13" s="95"/>
      <c r="E13" s="43" t="s">
        <v>34</v>
      </c>
      <c r="F13" s="44" t="s">
        <v>27</v>
      </c>
      <c r="G13" s="45">
        <v>16</v>
      </c>
      <c r="H13" s="46">
        <v>4</v>
      </c>
      <c r="I13" s="46">
        <v>0</v>
      </c>
      <c r="J13" s="44">
        <v>0</v>
      </c>
      <c r="L13" s="45">
        <v>16</v>
      </c>
      <c r="M13" s="44">
        <v>4</v>
      </c>
      <c r="N13" s="7"/>
      <c r="O13" s="7"/>
      <c r="P13" s="47">
        <f>SUM(G13,I13)/SUM(G13:J13)</f>
        <v>0.8</v>
      </c>
      <c r="Q13" s="48">
        <f>((SUM(G13,I13)+1.3613)-(1.65*SQRT(SUM(G13,I13)-(SUM(G13,I13)^2/SUM(G13:J13))+0.6806)))/(SUM(G13:J13)+2.7225)</f>
        <v>0.62101114036509186</v>
      </c>
      <c r="R13" s="49">
        <f>((SUM(G13,I13)+1.3613)+(1.65*SQRT(SUM(G13,I13)-(SUM(G13,I13)^2/SUM(G13:J13))+0.6806)))/(SUM(G13:J13)+2.7225)</f>
        <v>0.907104163848793</v>
      </c>
      <c r="S13" s="47">
        <f>G13/SUM(G13:J13)</f>
        <v>0.8</v>
      </c>
      <c r="T13" s="48">
        <f>((G13+1.3613)-(1.65*SQRT(G13-(G13^2/SUM(G13:J13))+0.6806)))/(SUM(G13:J13)+2.7225)</f>
        <v>0.62101114036509186</v>
      </c>
      <c r="U13" s="49">
        <f>((G13+1.3613)+(1.65*SQRT(G13-(G13^2/SUM(G13:J13))+0.6806)))/(SUM(G13:J13)+2.7225)</f>
        <v>0.907104163848793</v>
      </c>
      <c r="V13" s="47">
        <f>L13/SUM(L13:M13)</f>
        <v>0.8</v>
      </c>
      <c r="W13" s="48">
        <f>((L13+1.3613)-(1.65*SQRT(L13-(L13^2/SUM(L13:M13))+0.6806)))/(SUM(L13:M13)+2.7225)</f>
        <v>0.62101114036509186</v>
      </c>
      <c r="X13" s="50">
        <f>((L13+1.3613)+(1.65*SQRT(L13-(L13^2/SUM(L13:M13))+0.6806)))/(SUM(L13:M13)+2.7225)</f>
        <v>0.907104163848793</v>
      </c>
      <c r="Y13" s="47">
        <f>S13-V13</f>
        <v>0</v>
      </c>
      <c r="Z13" s="48">
        <f>Y13-SQRT((S13-T13)^2+(V13-X13)^2)</f>
        <v>-0.20858646597311617</v>
      </c>
      <c r="AA13" s="49">
        <f>Y13+SQRT((S13-U13)^2+(V13-W13)^2)</f>
        <v>0.20858646597311617</v>
      </c>
      <c r="AB13" s="37" t="s">
        <v>28</v>
      </c>
      <c r="AC13" s="7"/>
      <c r="AD13" s="7"/>
    </row>
    <row r="14" spans="2:30" ht="15.75" customHeight="1" thickBot="1">
      <c r="B14" s="85"/>
      <c r="C14" s="88"/>
      <c r="D14" s="91"/>
      <c r="E14" s="39" t="s">
        <v>34</v>
      </c>
      <c r="F14" s="40" t="s">
        <v>29</v>
      </c>
      <c r="G14" s="51">
        <v>20</v>
      </c>
      <c r="H14" s="39">
        <v>0</v>
      </c>
      <c r="I14" s="39">
        <v>0</v>
      </c>
      <c r="J14" s="40">
        <v>0</v>
      </c>
      <c r="L14" s="51">
        <v>20</v>
      </c>
      <c r="M14" s="40">
        <v>0</v>
      </c>
      <c r="N14" s="7"/>
      <c r="O14" s="7"/>
      <c r="P14" s="52">
        <f>SUM(G14,I14)/SUM(G14:J14)</f>
        <v>1</v>
      </c>
      <c r="Q14" s="53">
        <f>((SUM(G14,I14)+1.3613)-(1.65*SQRT(SUM(G14,I14)-(SUM(G14,I14)^2/SUM(G14:J14))+0.6806)))/(SUM(G14:J14)+2.7225)</f>
        <v>0.88018813951940023</v>
      </c>
      <c r="R14" s="54">
        <f>((SUM(G14,I14)+1.3613)+(1.65*SQRT(SUM(G14,I14)-(SUM(G14,I14)^2/SUM(G14:J14))+0.6806)))/(SUM(G14:J14)+2.7225)</f>
        <v>1.0000011002209452</v>
      </c>
      <c r="S14" s="52">
        <f>G14/SUM(G14:J14)</f>
        <v>1</v>
      </c>
      <c r="T14" s="53">
        <f>((G14+1.3613)-(1.65*SQRT(G14-(G14^2/SUM(G14:J14))+0.6806)))/(SUM(G14:J14)+2.7225)</f>
        <v>0.88018813951940023</v>
      </c>
      <c r="U14" s="54">
        <f>((G14+1.3613)+(1.65*SQRT(G14-(G14^2/SUM(G14:J14))+0.6806)))/(SUM(G14:J14)+2.7225)</f>
        <v>1.0000011002209452</v>
      </c>
      <c r="V14" s="52">
        <f>L14/SUM(L14:M14)</f>
        <v>1</v>
      </c>
      <c r="W14" s="53">
        <f>((L14+1.3613)-(1.65*SQRT(L14-(L14^2/SUM(L14:M14))+0.6806)))/(SUM(L14:M14)+2.7225)</f>
        <v>0.88018813951940023</v>
      </c>
      <c r="X14" s="55">
        <f>((L14+1.3613)+(1.65*SQRT(L14-(L14^2/SUM(L14:M14))+0.6806)))/(SUM(L14:M14)+2.7225)</f>
        <v>1.0000011002209452</v>
      </c>
      <c r="Y14" s="52">
        <f>S14-V14</f>
        <v>0</v>
      </c>
      <c r="Z14" s="53">
        <f>Y14-SQRT((S14-T14)^2+(V14-X14)^2)</f>
        <v>-0.11981186048565139</v>
      </c>
      <c r="AA14" s="54">
        <f>Y14+SQRT((S14-U14)^2+(V14-W14)^2)</f>
        <v>0.11981186048565139</v>
      </c>
      <c r="AB14" s="56" t="s">
        <v>28</v>
      </c>
      <c r="AC14" s="7"/>
      <c r="AD14" s="7"/>
    </row>
    <row r="15" spans="2:30" ht="15.75" customHeight="1" thickBot="1">
      <c r="L15" s="7"/>
      <c r="M15" s="7"/>
      <c r="N15" s="7"/>
      <c r="O15" s="7"/>
      <c r="P15" s="7"/>
      <c r="Q15" s="7"/>
      <c r="R15" s="7"/>
      <c r="S15" s="7"/>
      <c r="T15" s="7"/>
      <c r="U15" s="7"/>
      <c r="V15" s="7"/>
      <c r="W15" s="7"/>
      <c r="X15" s="7"/>
      <c r="Y15" s="7"/>
      <c r="Z15" s="7"/>
      <c r="AA15" s="7"/>
      <c r="AB15" s="58"/>
      <c r="AC15" s="7"/>
      <c r="AD15" s="7"/>
    </row>
    <row r="16" spans="2:30" ht="15.75" customHeight="1" thickBot="1">
      <c r="G16" s="105" t="s">
        <v>35</v>
      </c>
      <c r="H16" s="106"/>
      <c r="I16" s="106"/>
      <c r="J16" s="107"/>
      <c r="L16" s="108" t="s">
        <v>2</v>
      </c>
      <c r="M16" s="109"/>
      <c r="N16" s="7"/>
      <c r="O16" s="7"/>
      <c r="P16" s="65" t="s">
        <v>36</v>
      </c>
      <c r="Q16" s="66">
        <f>SUM(G18:G20)/SUM(G18:G20,J18:J20)</f>
        <v>0.98863636363636365</v>
      </c>
      <c r="R16" s="7"/>
      <c r="S16" s="7"/>
      <c r="T16" s="7"/>
      <c r="U16" s="7"/>
      <c r="V16" s="7"/>
      <c r="W16" s="7"/>
      <c r="X16" s="7"/>
      <c r="Y16" s="7"/>
      <c r="Z16" s="7"/>
      <c r="AA16" s="7"/>
      <c r="AB16" s="58"/>
      <c r="AC16" s="7"/>
      <c r="AD16" s="7"/>
    </row>
    <row r="17" spans="2:30" ht="15.75" customHeight="1" thickBot="1">
      <c r="G17" s="59" t="s">
        <v>13</v>
      </c>
      <c r="H17" s="60" t="s">
        <v>14</v>
      </c>
      <c r="I17" s="60" t="s">
        <v>15</v>
      </c>
      <c r="J17" s="61" t="s">
        <v>16</v>
      </c>
      <c r="L17" s="59" t="s">
        <v>13</v>
      </c>
      <c r="M17" s="61" t="s">
        <v>14</v>
      </c>
      <c r="N17" s="7"/>
      <c r="O17" s="7"/>
      <c r="P17" s="67" t="s">
        <v>37</v>
      </c>
      <c r="Q17" s="68">
        <f>SUM(H18:H20)/SUM(H18:I20)</f>
        <v>1</v>
      </c>
      <c r="R17" s="7"/>
      <c r="S17" s="7"/>
      <c r="T17" s="7"/>
      <c r="U17" s="7"/>
      <c r="V17" s="7"/>
      <c r="W17" s="7"/>
      <c r="X17" s="7"/>
      <c r="Y17" s="7"/>
      <c r="Z17" s="7"/>
      <c r="AA17" s="7"/>
      <c r="AB17" s="58"/>
      <c r="AC17" s="7"/>
      <c r="AD17" s="7"/>
    </row>
    <row r="18" spans="2:30" ht="15.75" customHeight="1">
      <c r="F18" s="62" t="s">
        <v>25</v>
      </c>
      <c r="G18" s="20">
        <f>SUM(G6,G9,G12)</f>
        <v>0</v>
      </c>
      <c r="H18" s="21">
        <f t="shared" ref="H18:M18" si="0">SUM(H6,H9,H12)</f>
        <v>30</v>
      </c>
      <c r="I18" s="21">
        <f t="shared" si="0"/>
        <v>0</v>
      </c>
      <c r="J18" s="19">
        <f t="shared" si="0"/>
        <v>0</v>
      </c>
      <c r="L18" s="20">
        <f t="shared" si="0"/>
        <v>0</v>
      </c>
      <c r="M18" s="19">
        <f t="shared" si="0"/>
        <v>30</v>
      </c>
      <c r="N18" s="7"/>
      <c r="O18" s="7"/>
      <c r="P18" s="67" t="s">
        <v>38</v>
      </c>
      <c r="Q18" s="68">
        <f>1-Q16</f>
        <v>1.1363636363636354E-2</v>
      </c>
      <c r="R18" s="7"/>
      <c r="S18" s="7"/>
      <c r="T18" s="7"/>
      <c r="U18" s="7"/>
      <c r="V18" s="7"/>
      <c r="W18" s="7"/>
      <c r="X18" s="7"/>
      <c r="Y18" s="7"/>
      <c r="Z18" s="7"/>
      <c r="AA18" s="7"/>
      <c r="AB18" s="58"/>
      <c r="AC18" s="7"/>
      <c r="AD18" s="7"/>
    </row>
    <row r="19" spans="2:30" ht="15.75" customHeight="1">
      <c r="F19" s="62" t="s">
        <v>27</v>
      </c>
      <c r="G19" s="32">
        <f t="shared" ref="G19:M20" si="1">SUM(G7,G10,G13)</f>
        <v>33</v>
      </c>
      <c r="H19" s="30">
        <f t="shared" si="1"/>
        <v>26</v>
      </c>
      <c r="I19" s="30">
        <f t="shared" si="1"/>
        <v>0</v>
      </c>
      <c r="J19" s="31">
        <f t="shared" si="1"/>
        <v>1</v>
      </c>
      <c r="L19" s="32">
        <f t="shared" si="1"/>
        <v>34</v>
      </c>
      <c r="M19" s="31">
        <f t="shared" si="1"/>
        <v>26</v>
      </c>
      <c r="N19" s="7"/>
      <c r="O19" s="7"/>
      <c r="P19" s="67" t="s">
        <v>39</v>
      </c>
      <c r="Q19" s="69">
        <f>1-Q17</f>
        <v>0</v>
      </c>
      <c r="R19" s="7"/>
      <c r="S19" s="7"/>
      <c r="T19" s="7"/>
      <c r="U19" s="7"/>
      <c r="V19" s="7"/>
      <c r="W19" s="7"/>
      <c r="X19" s="7"/>
      <c r="Y19" s="7"/>
      <c r="Z19" s="7"/>
      <c r="AA19" s="7"/>
      <c r="AB19" s="58"/>
      <c r="AC19" s="7"/>
      <c r="AD19" s="7"/>
    </row>
    <row r="20" spans="2:30" ht="15.75" customHeight="1" thickBot="1">
      <c r="F20" s="62" t="s">
        <v>29</v>
      </c>
      <c r="G20" s="51">
        <f t="shared" si="1"/>
        <v>54</v>
      </c>
      <c r="H20" s="39">
        <f t="shared" si="1"/>
        <v>6</v>
      </c>
      <c r="I20" s="39">
        <f t="shared" si="1"/>
        <v>0</v>
      </c>
      <c r="J20" s="40">
        <f t="shared" si="1"/>
        <v>0</v>
      </c>
      <c r="L20" s="51">
        <f t="shared" si="1"/>
        <v>54</v>
      </c>
      <c r="M20" s="40">
        <f t="shared" si="1"/>
        <v>6</v>
      </c>
      <c r="N20" s="7"/>
      <c r="O20" s="7"/>
      <c r="P20" s="70" t="s">
        <v>40</v>
      </c>
      <c r="Q20" s="71">
        <f>SUM(G18:H20)/SUM(G18:J20)</f>
        <v>0.99333333333333329</v>
      </c>
      <c r="R20" s="7"/>
      <c r="S20" s="7"/>
      <c r="T20" s="7"/>
      <c r="U20" s="7"/>
      <c r="V20" s="7"/>
      <c r="W20" s="7"/>
      <c r="X20" s="7"/>
      <c r="Y20" s="7"/>
      <c r="Z20" s="7"/>
      <c r="AA20" s="7"/>
      <c r="AB20" s="58"/>
      <c r="AC20" s="7"/>
      <c r="AD20" s="7"/>
    </row>
    <row r="21" spans="2:30" ht="15.75" customHeight="1">
      <c r="G21" s="7">
        <f>SUM(G18:G20)</f>
        <v>87</v>
      </c>
      <c r="H21" s="7">
        <f>SUM(H18:H20)</f>
        <v>62</v>
      </c>
      <c r="I21" s="7">
        <f>SUM(I18:I20)</f>
        <v>0</v>
      </c>
      <c r="J21" s="7">
        <f>SUM(J18:J20)</f>
        <v>1</v>
      </c>
      <c r="K21" s="7"/>
      <c r="L21" s="7">
        <f>SUM(L18:L20)</f>
        <v>88</v>
      </c>
      <c r="M21" s="7">
        <f>SUM(M18:M20)</f>
        <v>62</v>
      </c>
      <c r="N21" s="7"/>
      <c r="O21" s="7"/>
      <c r="P21" s="7"/>
      <c r="Q21" s="7"/>
      <c r="R21" s="7"/>
      <c r="S21" s="7"/>
      <c r="T21" s="7"/>
      <c r="U21" s="7"/>
      <c r="V21" s="7"/>
      <c r="W21" s="7"/>
      <c r="X21" s="7"/>
      <c r="Y21" s="7"/>
      <c r="Z21" s="7"/>
      <c r="AA21" s="7"/>
      <c r="AB21" s="58"/>
      <c r="AC21" s="7"/>
      <c r="AD21" s="7"/>
    </row>
    <row r="22" spans="2:30" ht="15.75" customHeight="1">
      <c r="L22" s="7"/>
      <c r="M22" s="7"/>
      <c r="N22" s="7"/>
      <c r="O22" s="7"/>
      <c r="P22" s="7"/>
      <c r="Q22" s="7"/>
      <c r="R22" s="7"/>
      <c r="S22" s="7"/>
      <c r="T22" s="7"/>
      <c r="U22" s="7"/>
      <c r="V22" s="7"/>
      <c r="W22" s="7"/>
      <c r="X22" s="7"/>
      <c r="Y22" s="7"/>
      <c r="Z22" s="7"/>
      <c r="AA22" s="7"/>
      <c r="AB22" s="58"/>
      <c r="AC22" s="7"/>
      <c r="AD22" s="7"/>
    </row>
    <row r="23" spans="2:30" ht="15.75" customHeight="1">
      <c r="L23" s="7"/>
      <c r="M23" s="7"/>
      <c r="N23" s="7"/>
      <c r="O23" s="7"/>
      <c r="P23" s="7"/>
      <c r="Q23" s="7"/>
      <c r="R23" s="7"/>
      <c r="S23" s="7"/>
      <c r="T23" s="7"/>
      <c r="U23" s="7"/>
      <c r="V23" s="7"/>
      <c r="W23" s="7"/>
      <c r="X23" s="7"/>
      <c r="Y23" s="7"/>
      <c r="Z23" s="7"/>
      <c r="AA23" s="7"/>
      <c r="AB23" s="58"/>
      <c r="AC23" s="7"/>
      <c r="AD23" s="7"/>
    </row>
    <row r="24" spans="2:30" ht="15.75" customHeight="1">
      <c r="L24" s="7"/>
      <c r="M24" s="7"/>
      <c r="N24" s="7"/>
      <c r="O24" s="7"/>
      <c r="P24" s="7"/>
      <c r="Q24" s="7"/>
      <c r="R24" s="7"/>
      <c r="S24" s="7"/>
      <c r="T24" s="7"/>
      <c r="U24" s="7"/>
      <c r="V24" s="7"/>
      <c r="W24" s="7"/>
      <c r="X24" s="7"/>
      <c r="Y24" s="7"/>
      <c r="Z24" s="7"/>
      <c r="AA24" s="7"/>
      <c r="AB24" s="58"/>
      <c r="AC24" s="7"/>
      <c r="AD24" s="7"/>
    </row>
    <row r="25" spans="2:30" ht="15.75" customHeight="1" thickBot="1">
      <c r="L25" s="7"/>
      <c r="M25" s="7"/>
      <c r="N25" s="7"/>
      <c r="O25" s="7"/>
      <c r="P25" s="7"/>
      <c r="Q25" s="7"/>
      <c r="R25" s="7"/>
      <c r="S25" s="7"/>
      <c r="T25" s="7"/>
      <c r="U25" s="7"/>
      <c r="V25" s="7"/>
      <c r="W25" s="7"/>
      <c r="X25" s="7"/>
      <c r="Y25" s="7"/>
      <c r="Z25" s="7"/>
      <c r="AA25" s="7"/>
      <c r="AB25" s="58"/>
      <c r="AC25" s="7"/>
      <c r="AD25" s="7"/>
    </row>
    <row r="26" spans="2:30" ht="15.75" customHeight="1" thickBot="1">
      <c r="B26" s="4"/>
      <c r="C26" s="4"/>
      <c r="D26" s="4"/>
      <c r="E26" s="4"/>
      <c r="F26" s="4"/>
      <c r="G26" s="96" t="s">
        <v>59</v>
      </c>
      <c r="H26" s="97"/>
      <c r="I26" s="97"/>
      <c r="J26" s="98"/>
      <c r="K26" s="6"/>
      <c r="L26" s="96" t="s">
        <v>2</v>
      </c>
      <c r="M26" s="99"/>
      <c r="N26" s="7"/>
      <c r="O26" s="7"/>
      <c r="P26" s="100" t="s">
        <v>3</v>
      </c>
      <c r="Q26" s="101"/>
      <c r="R26" s="102"/>
      <c r="S26" s="103" t="s">
        <v>4</v>
      </c>
      <c r="T26" s="101"/>
      <c r="U26" s="104"/>
      <c r="V26" s="100" t="s">
        <v>5</v>
      </c>
      <c r="W26" s="101"/>
      <c r="X26" s="102"/>
      <c r="Y26" s="103" t="s">
        <v>6</v>
      </c>
      <c r="Z26" s="101"/>
      <c r="AA26" s="104"/>
      <c r="AB26" s="80" t="s">
        <v>7</v>
      </c>
      <c r="AC26" s="7"/>
      <c r="AD26" s="7"/>
    </row>
    <row r="27" spans="2:30" ht="15.75" customHeight="1" thickBot="1">
      <c r="B27" s="5" t="s">
        <v>8</v>
      </c>
      <c r="C27" s="8" t="s">
        <v>9</v>
      </c>
      <c r="D27" s="9" t="s">
        <v>10</v>
      </c>
      <c r="E27" s="9" t="s">
        <v>11</v>
      </c>
      <c r="F27" s="10" t="s">
        <v>12</v>
      </c>
      <c r="G27" s="8" t="s">
        <v>13</v>
      </c>
      <c r="H27" s="9" t="s">
        <v>14</v>
      </c>
      <c r="I27" s="9" t="s">
        <v>15</v>
      </c>
      <c r="J27" s="11" t="s">
        <v>16</v>
      </c>
      <c r="L27" s="8" t="s">
        <v>13</v>
      </c>
      <c r="M27" s="11" t="s">
        <v>14</v>
      </c>
      <c r="N27" s="12"/>
      <c r="O27" s="12"/>
      <c r="P27" s="13" t="s">
        <v>17</v>
      </c>
      <c r="Q27" s="14" t="s">
        <v>18</v>
      </c>
      <c r="R27" s="15" t="s">
        <v>19</v>
      </c>
      <c r="S27" s="16" t="s">
        <v>17</v>
      </c>
      <c r="T27" s="14" t="s">
        <v>18</v>
      </c>
      <c r="U27" s="17" t="s">
        <v>19</v>
      </c>
      <c r="V27" s="13" t="s">
        <v>17</v>
      </c>
      <c r="W27" s="14" t="s">
        <v>18</v>
      </c>
      <c r="X27" s="15" t="s">
        <v>19</v>
      </c>
      <c r="Y27" s="16" t="s">
        <v>20</v>
      </c>
      <c r="Z27" s="14" t="s">
        <v>18</v>
      </c>
      <c r="AA27" s="17" t="s">
        <v>19</v>
      </c>
      <c r="AB27" s="81"/>
      <c r="AC27" s="12"/>
      <c r="AD27" s="12"/>
    </row>
    <row r="28" spans="2:30" ht="15.75" customHeight="1">
      <c r="B28" s="82" t="s">
        <v>41</v>
      </c>
      <c r="C28" s="86" t="s">
        <v>60</v>
      </c>
      <c r="D28" s="89" t="s">
        <v>43</v>
      </c>
      <c r="E28" s="18" t="s">
        <v>24</v>
      </c>
      <c r="F28" s="19" t="s">
        <v>25</v>
      </c>
      <c r="G28" s="20">
        <v>0</v>
      </c>
      <c r="H28" s="21">
        <v>10</v>
      </c>
      <c r="I28" s="21">
        <v>0</v>
      </c>
      <c r="J28" s="19">
        <v>0</v>
      </c>
      <c r="L28" s="22">
        <v>0</v>
      </c>
      <c r="M28" s="23">
        <v>10</v>
      </c>
      <c r="N28" s="7"/>
      <c r="O28" s="7"/>
      <c r="P28" s="24" t="s">
        <v>26</v>
      </c>
      <c r="Q28" s="25" t="s">
        <v>26</v>
      </c>
      <c r="R28" s="26" t="s">
        <v>26</v>
      </c>
      <c r="S28" s="27" t="s">
        <v>26</v>
      </c>
      <c r="T28" s="25" t="s">
        <v>26</v>
      </c>
      <c r="U28" s="26" t="s">
        <v>26</v>
      </c>
      <c r="V28" s="27" t="s">
        <v>26</v>
      </c>
      <c r="W28" s="25" t="s">
        <v>26</v>
      </c>
      <c r="X28" s="28" t="s">
        <v>26</v>
      </c>
      <c r="Y28" s="27" t="s">
        <v>26</v>
      </c>
      <c r="Z28" s="25" t="s">
        <v>26</v>
      </c>
      <c r="AA28" s="26" t="s">
        <v>26</v>
      </c>
      <c r="AB28" s="29" t="s">
        <v>24</v>
      </c>
      <c r="AC28" s="7"/>
      <c r="AD28" s="7"/>
    </row>
    <row r="29" spans="2:30" ht="15.75" customHeight="1">
      <c r="B29" s="83"/>
      <c r="C29" s="87"/>
      <c r="D29" s="90"/>
      <c r="E29" s="30" t="s">
        <v>24</v>
      </c>
      <c r="F29" s="31" t="s">
        <v>27</v>
      </c>
      <c r="G29" s="32">
        <v>10</v>
      </c>
      <c r="H29" s="30">
        <v>10</v>
      </c>
      <c r="I29" s="30">
        <v>0</v>
      </c>
      <c r="J29" s="31">
        <v>0</v>
      </c>
      <c r="L29" s="32">
        <v>10</v>
      </c>
      <c r="M29" s="31">
        <v>10</v>
      </c>
      <c r="N29" s="7"/>
      <c r="O29" s="7"/>
      <c r="P29" s="33">
        <f>SUM(G29,I29)/SUM(G29:J29)</f>
        <v>0.5</v>
      </c>
      <c r="Q29" s="34">
        <f>((SUM(G29,I29)+1.3613)-(1.65*SQRT(SUM(G29,I29)-(SUM(G29,I29)^2/SUM(G29:J29))+0.6806)))/(SUM(G29:J29)+2.7225)</f>
        <v>0.32693094787634341</v>
      </c>
      <c r="R29" s="35">
        <f>((SUM(G29,I29)+1.3613)+(1.65*SQRT(SUM(G29,I29)-(SUM(G29,I29)^2/SUM(G29:J29))+0.6806)))/(SUM(G29:J29)+2.7225)</f>
        <v>0.6730734530478506</v>
      </c>
      <c r="S29" s="33">
        <f>G29/SUM(G29:J29)</f>
        <v>0.5</v>
      </c>
      <c r="T29" s="34">
        <f>((G29+1.3613)-(1.65*SQRT(G29-(G29^2/SUM(G29:J29))+0.6806)))/(SUM(G29:J29)+2.7225)</f>
        <v>0.32693094787634341</v>
      </c>
      <c r="U29" s="35">
        <f>((G29+1.3613)+(1.65*SQRT(G29-(G29^2/SUM(G29:J29))+0.6806)))/(SUM(G29:J29)+2.7225)</f>
        <v>0.6730734530478506</v>
      </c>
      <c r="V29" s="33">
        <f>L29/SUM(L29:M29)</f>
        <v>0.5</v>
      </c>
      <c r="W29" s="34">
        <f>((L29+1.3613)-(1.65*SQRT(L29-(L29^2/SUM(L29:M29))+0.6806)))/(SUM(L29:M29)+2.7225)</f>
        <v>0.32693094787634341</v>
      </c>
      <c r="X29" s="36">
        <f>((L29+1.3613)+(1.65*SQRT(L29-(L29^2/SUM(L29:M29))+0.6806)))/(SUM(L29:M29)+2.7225)</f>
        <v>0.6730734530478506</v>
      </c>
      <c r="Y29" s="33">
        <f>S29-V29</f>
        <v>0</v>
      </c>
      <c r="Z29" s="34">
        <f>Y29-SQRT((S29-T29)^2+(V29-X29)^2)</f>
        <v>-0.24475971268345514</v>
      </c>
      <c r="AA29" s="35">
        <f>Y29+SQRT((S29-U29)^2+(V29-W29)^2)</f>
        <v>0.24475971268345514</v>
      </c>
      <c r="AB29" s="37" t="s">
        <v>28</v>
      </c>
      <c r="AC29" s="38"/>
      <c r="AD29" s="7"/>
    </row>
    <row r="30" spans="2:30" ht="15.75" customHeight="1" thickBot="1">
      <c r="B30" s="83"/>
      <c r="C30" s="88"/>
      <c r="D30" s="91"/>
      <c r="E30" s="39" t="s">
        <v>24</v>
      </c>
      <c r="F30" s="40" t="s">
        <v>29</v>
      </c>
      <c r="G30" s="32">
        <v>17</v>
      </c>
      <c r="H30" s="30">
        <v>2</v>
      </c>
      <c r="I30" s="30">
        <v>0</v>
      </c>
      <c r="J30" s="73">
        <v>1</v>
      </c>
      <c r="L30" s="32">
        <v>18</v>
      </c>
      <c r="M30" s="31">
        <v>2</v>
      </c>
      <c r="N30" s="7"/>
      <c r="O30" s="7"/>
      <c r="P30" s="33">
        <f>SUM(G30,I30)/SUM(G30:J30)</f>
        <v>0.85</v>
      </c>
      <c r="Q30" s="34">
        <f>((SUM(G30,I30)+1.3613)-(1.65*SQRT(SUM(G30,I30)-(SUM(G30,I30)^2/SUM(G30:J30))+0.6806)))/(SUM(G30:J30)+2.7225)</f>
        <v>0.67754918969065736</v>
      </c>
      <c r="R30" s="35">
        <f>((SUM(G30,I30)+1.3613)+(1.65*SQRT(SUM(G30,I30)-(SUM(G30,I30)^2/SUM(G30:J30))+0.6806)))/(SUM(G30:J30)+2.7225)</f>
        <v>0.93858459840484276</v>
      </c>
      <c r="S30" s="33">
        <f>G30/SUM(G30:J30)</f>
        <v>0.85</v>
      </c>
      <c r="T30" s="34">
        <f>((G30+1.3613)-(1.65*SQRT(G30-(G30^2/SUM(G30:J30))+0.6806)))/(SUM(G30:J30)+2.7225)</f>
        <v>0.67754918969065736</v>
      </c>
      <c r="U30" s="35">
        <f>((G30+1.3613)+(1.65*SQRT(G30-(G30^2/SUM(G30:J30))+0.6806)))/(SUM(G30:J30)+2.7225)</f>
        <v>0.93858459840484276</v>
      </c>
      <c r="V30" s="33">
        <f>L30/SUM(L30:M30)</f>
        <v>0.9</v>
      </c>
      <c r="W30" s="34">
        <f>((L30+1.3613)-(1.65*SQRT(L30-(L30^2/SUM(L30:M30))+0.6806)))/(SUM(L30:M30)+2.7225)</f>
        <v>0.7377076948078376</v>
      </c>
      <c r="X30" s="36">
        <f>((L30+1.3613)+(1.65*SQRT(L30-(L30^2/SUM(L30:M30))+0.6806)))/(SUM(L30:M30)+2.7225)</f>
        <v>0.96644457716927756</v>
      </c>
      <c r="Y30" s="33">
        <f>S30-V30</f>
        <v>-5.0000000000000044E-2</v>
      </c>
      <c r="Z30" s="34">
        <f>Y30-SQRT((S30-T30)^2+(V30-X30)^2)</f>
        <v>-0.23480845167781955</v>
      </c>
      <c r="AA30" s="35">
        <f>Y30+SQRT((S30-U30)^2+(V30-W30)^2)</f>
        <v>0.13489462782659006</v>
      </c>
      <c r="AB30" s="37" t="s">
        <v>28</v>
      </c>
      <c r="AC30" s="7"/>
      <c r="AD30" s="7"/>
    </row>
    <row r="31" spans="2:30" ht="15.75" customHeight="1">
      <c r="B31" s="83"/>
      <c r="C31" s="92" t="s">
        <v>45</v>
      </c>
      <c r="D31" s="93" t="s">
        <v>46</v>
      </c>
      <c r="E31" s="41" t="s">
        <v>34</v>
      </c>
      <c r="F31" s="23" t="s">
        <v>25</v>
      </c>
      <c r="G31" s="22">
        <v>0</v>
      </c>
      <c r="H31" s="42">
        <v>10</v>
      </c>
      <c r="I31" s="42">
        <v>0</v>
      </c>
      <c r="J31" s="23">
        <v>0</v>
      </c>
      <c r="L31" s="22">
        <v>0</v>
      </c>
      <c r="M31" s="23">
        <v>10</v>
      </c>
      <c r="N31" s="7"/>
      <c r="O31" s="7"/>
      <c r="P31" s="33" t="s">
        <v>26</v>
      </c>
      <c r="Q31" s="34" t="s">
        <v>26</v>
      </c>
      <c r="R31" s="35" t="s">
        <v>26</v>
      </c>
      <c r="S31" s="33" t="s">
        <v>26</v>
      </c>
      <c r="T31" s="34" t="s">
        <v>26</v>
      </c>
      <c r="U31" s="35" t="s">
        <v>26</v>
      </c>
      <c r="V31" s="33" t="s">
        <v>26</v>
      </c>
      <c r="W31" s="34" t="s">
        <v>26</v>
      </c>
      <c r="X31" s="36" t="s">
        <v>26</v>
      </c>
      <c r="Y31" s="33" t="s">
        <v>26</v>
      </c>
      <c r="Z31" s="34" t="s">
        <v>26</v>
      </c>
      <c r="AA31" s="35" t="s">
        <v>26</v>
      </c>
      <c r="AB31" s="37" t="s">
        <v>24</v>
      </c>
      <c r="AC31" s="7"/>
      <c r="AD31" s="7"/>
    </row>
    <row r="32" spans="2:30" ht="15.75" customHeight="1">
      <c r="B32" s="83"/>
      <c r="C32" s="87"/>
      <c r="D32" s="90"/>
      <c r="E32" s="30" t="s">
        <v>34</v>
      </c>
      <c r="F32" s="31" t="s">
        <v>27</v>
      </c>
      <c r="G32" s="32">
        <v>11</v>
      </c>
      <c r="H32" s="30">
        <v>9</v>
      </c>
      <c r="I32" s="30">
        <v>0</v>
      </c>
      <c r="J32" s="31">
        <v>0</v>
      </c>
      <c r="L32" s="32">
        <v>11</v>
      </c>
      <c r="M32" s="31">
        <v>9</v>
      </c>
      <c r="N32" s="7"/>
      <c r="O32" s="7"/>
      <c r="P32" s="33">
        <f>SUM(G32,I32)/SUM(G32:J32)</f>
        <v>0.55000000000000004</v>
      </c>
      <c r="Q32" s="34">
        <f>((SUM(G32,I32)+1.3613)-(1.65*SQRT(SUM(G32,I32)-(SUM(G32,I32)^2/SUM(G32:J32))+0.6806)))/(SUM(G32:J32)+2.7225)</f>
        <v>0.37170355009739847</v>
      </c>
      <c r="R32" s="35">
        <f>((SUM(G32,I32)+1.3613)+(1.65*SQRT(SUM(G32,I32)-(SUM(G32,I32)^2/SUM(G32:J32))+0.6806)))/(SUM(G32:J32)+2.7225)</f>
        <v>0.71631933470841069</v>
      </c>
      <c r="S32" s="33">
        <f>G32/SUM(G32:J32)</f>
        <v>0.55000000000000004</v>
      </c>
      <c r="T32" s="34">
        <f>((G32+1.3613)-(1.65*SQRT(G32-(G32^2/SUM(G32:J32))+0.6806)))/(SUM(G32:J32)+2.7225)</f>
        <v>0.37170355009739847</v>
      </c>
      <c r="U32" s="35">
        <f>((G32+1.3613)+(1.65*SQRT(G32-(G32^2/SUM(G32:J32))+0.6806)))/(SUM(G32:J32)+2.7225)</f>
        <v>0.71631933470841069</v>
      </c>
      <c r="V32" s="33">
        <f>L32/SUM(L32:M32)</f>
        <v>0.55000000000000004</v>
      </c>
      <c r="W32" s="34">
        <f>((L32+1.3613)-(1.65*SQRT(L32-(L32^2/SUM(L32:M32))+0.6806)))/(SUM(L32:M32)+2.7225)</f>
        <v>0.37170355009739847</v>
      </c>
      <c r="X32" s="36">
        <f>((L32+1.3613)+(1.65*SQRT(L32-(L32^2/SUM(L32:M32))+0.6806)))/(SUM(L32:M32)+2.7225)</f>
        <v>0.71631933470841069</v>
      </c>
      <c r="Y32" s="33">
        <f>S32-V32</f>
        <v>0</v>
      </c>
      <c r="Z32" s="34">
        <f>Y32-SQRT((S32-T32)^2+(V32-X32)^2)</f>
        <v>-0.24382728548240709</v>
      </c>
      <c r="AA32" s="35">
        <f>Y32+SQRT((S32-U32)^2+(V32-W32)^2)</f>
        <v>0.24382728548240709</v>
      </c>
      <c r="AB32" s="37" t="s">
        <v>28</v>
      </c>
      <c r="AC32" s="7"/>
      <c r="AD32" s="7"/>
    </row>
    <row r="33" spans="2:30" ht="15.75" customHeight="1" thickBot="1">
      <c r="B33" s="83"/>
      <c r="C33" s="88"/>
      <c r="D33" s="91"/>
      <c r="E33" s="39" t="s">
        <v>34</v>
      </c>
      <c r="F33" s="40" t="s">
        <v>29</v>
      </c>
      <c r="G33" s="32">
        <v>20</v>
      </c>
      <c r="H33" s="30">
        <v>0</v>
      </c>
      <c r="I33" s="30">
        <v>0</v>
      </c>
      <c r="J33" s="31">
        <v>0</v>
      </c>
      <c r="L33" s="32">
        <v>20</v>
      </c>
      <c r="M33" s="31">
        <v>0</v>
      </c>
      <c r="N33" s="7"/>
      <c r="O33" s="7"/>
      <c r="P33" s="33">
        <f>SUM(G33,I33)/SUM(G33:J33)</f>
        <v>1</v>
      </c>
      <c r="Q33" s="34">
        <f>((SUM(G33,I33)+1.3613)-(1.65*SQRT(SUM(G33,I33)-(SUM(G33,I33)^2/SUM(G33:J33))+0.6806)))/(SUM(G33:J33)+2.7225)</f>
        <v>0.88018813951940023</v>
      </c>
      <c r="R33" s="35">
        <f>((SUM(G33,I33)+1.3613)+(1.65*SQRT(SUM(G33,I33)-(SUM(G33,I33)^2/SUM(G33:J33))+0.6806)))/(SUM(G33:J33)+2.7225)</f>
        <v>1.0000011002209452</v>
      </c>
      <c r="S33" s="33">
        <f>G33/SUM(G33:J33)</f>
        <v>1</v>
      </c>
      <c r="T33" s="34">
        <f>((G33+1.3613)-(1.65*SQRT(G33-(G33^2/SUM(G33:J33))+0.6806)))/(SUM(G33:J33)+2.7225)</f>
        <v>0.88018813951940023</v>
      </c>
      <c r="U33" s="35">
        <f>((G33+1.3613)+(1.65*SQRT(G33-(G33^2/SUM(G33:J33))+0.6806)))/(SUM(G33:J33)+2.7225)</f>
        <v>1.0000011002209452</v>
      </c>
      <c r="V33" s="33">
        <f>L33/SUM(L33:M33)</f>
        <v>1</v>
      </c>
      <c r="W33" s="34">
        <f>((L33+1.3613)-(1.65*SQRT(L33-(L33^2/SUM(L33:M33))+0.6806)))/(SUM(L33:M33)+2.7225)</f>
        <v>0.88018813951940023</v>
      </c>
      <c r="X33" s="36">
        <f>((L33+1.3613)+(1.65*SQRT(L33-(L33^2/SUM(L33:M33))+0.6806)))/(SUM(L33:M33)+2.7225)</f>
        <v>1.0000011002209452</v>
      </c>
      <c r="Y33" s="33">
        <f>S33-V33</f>
        <v>0</v>
      </c>
      <c r="Z33" s="34">
        <f>Y33-SQRT((S33-T33)^2+(V33-X33)^2)</f>
        <v>-0.11981186048565139</v>
      </c>
      <c r="AA33" s="35">
        <f>Y33+SQRT((S33-U33)^2+(V33-W33)^2)</f>
        <v>0.11981186048565139</v>
      </c>
      <c r="AB33" s="37" t="s">
        <v>28</v>
      </c>
      <c r="AC33" s="7"/>
      <c r="AD33" s="7"/>
    </row>
    <row r="34" spans="2:30" ht="15.75" customHeight="1">
      <c r="B34" s="83"/>
      <c r="C34" s="92" t="s">
        <v>47</v>
      </c>
      <c r="D34" s="93" t="s">
        <v>48</v>
      </c>
      <c r="E34" s="41" t="s">
        <v>24</v>
      </c>
      <c r="F34" s="23" t="s">
        <v>25</v>
      </c>
      <c r="G34" s="22">
        <v>0</v>
      </c>
      <c r="H34" s="42">
        <v>10</v>
      </c>
      <c r="I34" s="42">
        <v>0</v>
      </c>
      <c r="J34" s="23">
        <v>0</v>
      </c>
      <c r="L34" s="22">
        <v>0</v>
      </c>
      <c r="M34" s="23">
        <v>10</v>
      </c>
      <c r="N34" s="7"/>
      <c r="O34" s="7"/>
      <c r="P34" s="33" t="s">
        <v>26</v>
      </c>
      <c r="Q34" s="34" t="s">
        <v>26</v>
      </c>
      <c r="R34" s="35" t="s">
        <v>26</v>
      </c>
      <c r="S34" s="33" t="s">
        <v>26</v>
      </c>
      <c r="T34" s="34" t="s">
        <v>26</v>
      </c>
      <c r="U34" s="35" t="s">
        <v>26</v>
      </c>
      <c r="V34" s="33" t="s">
        <v>26</v>
      </c>
      <c r="W34" s="34" t="s">
        <v>26</v>
      </c>
      <c r="X34" s="36" t="s">
        <v>26</v>
      </c>
      <c r="Y34" s="33" t="s">
        <v>26</v>
      </c>
      <c r="Z34" s="34" t="s">
        <v>26</v>
      </c>
      <c r="AA34" s="35" t="s">
        <v>26</v>
      </c>
      <c r="AB34" s="37" t="s">
        <v>24</v>
      </c>
      <c r="AC34" s="7"/>
      <c r="AD34" s="7"/>
    </row>
    <row r="35" spans="2:30" ht="15.75" customHeight="1">
      <c r="B35" s="84"/>
      <c r="C35" s="94"/>
      <c r="D35" s="95"/>
      <c r="E35" s="43" t="s">
        <v>24</v>
      </c>
      <c r="F35" s="44" t="s">
        <v>27</v>
      </c>
      <c r="G35" s="45">
        <v>8</v>
      </c>
      <c r="H35" s="46">
        <v>12</v>
      </c>
      <c r="I35" s="46">
        <v>0</v>
      </c>
      <c r="J35" s="44">
        <v>0</v>
      </c>
      <c r="L35" s="45">
        <v>8</v>
      </c>
      <c r="M35" s="44">
        <v>12</v>
      </c>
      <c r="N35" s="7"/>
      <c r="O35" s="7"/>
      <c r="P35" s="47">
        <f>SUM(G35,I35)/SUM(G35:J35)</f>
        <v>0.4</v>
      </c>
      <c r="Q35" s="48">
        <f>((SUM(G35,I35)+1.3613)-(1.65*SQRT(SUM(G35,I35)-(SUM(G35,I35)^2/SUM(G35:J35))+0.6806)))/(SUM(G35:J35)+2.7225)</f>
        <v>0.24198647075497337</v>
      </c>
      <c r="R35" s="49">
        <f>((SUM(G35,I35)+1.3613)+(1.65*SQRT(SUM(G35,I35)-(SUM(G35,I35)^2/SUM(G35:J35))+0.6806)))/(SUM(G35:J35)+2.7225)</f>
        <v>0.5819809624059904</v>
      </c>
      <c r="S35" s="47">
        <f>G35/SUM(G35:J35)</f>
        <v>0.4</v>
      </c>
      <c r="T35" s="48">
        <f>((G35+1.3613)-(1.65*SQRT(G35-(G35^2/SUM(G35:J35))+0.6806)))/(SUM(G35:J35)+2.7225)</f>
        <v>0.24198647075497337</v>
      </c>
      <c r="U35" s="49">
        <f>((G35+1.3613)+(1.65*SQRT(G35-(G35^2/SUM(G35:J35))+0.6806)))/(SUM(G35:J35)+2.7225)</f>
        <v>0.5819809624059904</v>
      </c>
      <c r="V35" s="47">
        <f>L35/SUM(L35:M35)</f>
        <v>0.4</v>
      </c>
      <c r="W35" s="48">
        <f>((L35+1.3613)-(1.65*SQRT(L35-(L35^2/SUM(L35:M35))+0.6806)))/(SUM(L35:M35)+2.7225)</f>
        <v>0.24198647075497337</v>
      </c>
      <c r="X35" s="50">
        <f>((L35+1.3613)+(1.65*SQRT(L35-(L35^2/SUM(L35:M35))+0.6806)))/(SUM(L35:M35)+2.7225)</f>
        <v>0.5819809624059904</v>
      </c>
      <c r="Y35" s="47">
        <f>S35-V35</f>
        <v>0</v>
      </c>
      <c r="Z35" s="48">
        <f>Y35-SQRT((S35-T35)^2+(V35-X35)^2)</f>
        <v>-0.24100901664186627</v>
      </c>
      <c r="AA35" s="49">
        <f>Y35+SQRT((S35-U35)^2+(V35-W35)^2)</f>
        <v>0.24100901664186627</v>
      </c>
      <c r="AB35" s="37" t="s">
        <v>28</v>
      </c>
      <c r="AC35" s="7"/>
      <c r="AD35" s="7"/>
    </row>
    <row r="36" spans="2:30" ht="15.75" customHeight="1" thickBot="1">
      <c r="B36" s="85"/>
      <c r="C36" s="88"/>
      <c r="D36" s="91"/>
      <c r="E36" s="39" t="s">
        <v>24</v>
      </c>
      <c r="F36" s="40" t="s">
        <v>29</v>
      </c>
      <c r="G36" s="51">
        <v>13</v>
      </c>
      <c r="H36" s="39">
        <v>7</v>
      </c>
      <c r="I36" s="39">
        <v>0</v>
      </c>
      <c r="J36" s="40">
        <v>0</v>
      </c>
      <c r="L36" s="51">
        <v>13</v>
      </c>
      <c r="M36" s="40">
        <v>7</v>
      </c>
      <c r="N36" s="7"/>
      <c r="O36" s="7"/>
      <c r="P36" s="52">
        <f>SUM(G36,I36)/SUM(G36:J36)</f>
        <v>0.65</v>
      </c>
      <c r="Q36" s="53">
        <f>((SUM(G36,I36)+1.3613)-(1.65*SQRT(SUM(G36,I36)-(SUM(G36,I36)^2/SUM(G36:J36))+0.6806)))/(SUM(G36:J36)+2.7225)</f>
        <v>0.46595518412280768</v>
      </c>
      <c r="R36" s="54">
        <f>((SUM(G36,I36)+1.3613)+(1.65*SQRT(SUM(G36,I36)-(SUM(G36,I36)^2/SUM(G36:J36))+0.6806)))/(SUM(G36:J36)+2.7225)</f>
        <v>0.79810466844623185</v>
      </c>
      <c r="S36" s="52">
        <f>G36/SUM(G36:J36)</f>
        <v>0.65</v>
      </c>
      <c r="T36" s="53">
        <f>((G36+1.3613)-(1.65*SQRT(G36-(G36^2/SUM(G36:J36))+0.6806)))/(SUM(G36:J36)+2.7225)</f>
        <v>0.46595518412280768</v>
      </c>
      <c r="U36" s="54">
        <f>((G36+1.3613)+(1.65*SQRT(G36-(G36^2/SUM(G36:J36))+0.6806)))/(SUM(G36:J36)+2.7225)</f>
        <v>0.79810466844623185</v>
      </c>
      <c r="V36" s="52">
        <f>L36/SUM(L36:M36)</f>
        <v>0.65</v>
      </c>
      <c r="W36" s="53">
        <f>((L36+1.3613)-(1.65*SQRT(L36-(L36^2/SUM(L36:M36))+0.6806)))/(SUM(L36:M36)+2.7225)</f>
        <v>0.46595518412280768</v>
      </c>
      <c r="X36" s="55">
        <f>((L36+1.3613)+(1.65*SQRT(L36-(L36^2/SUM(L36:M36))+0.6806)))/(SUM(L36:M36)+2.7225)</f>
        <v>0.79810466844623185</v>
      </c>
      <c r="Y36" s="52">
        <f>S36-V36</f>
        <v>0</v>
      </c>
      <c r="Z36" s="53">
        <f>Y36-SQRT((S36-T36)^2+(V36-X36)^2)</f>
        <v>-0.23623608332944798</v>
      </c>
      <c r="AA36" s="54">
        <f>Y36+SQRT((S36-U36)^2+(V36-W36)^2)</f>
        <v>0.23623608332944798</v>
      </c>
      <c r="AB36" s="56" t="s">
        <v>28</v>
      </c>
      <c r="AC36" s="7"/>
      <c r="AD36" s="7"/>
    </row>
    <row r="37" spans="2:30" ht="15.75" customHeight="1" thickBot="1"/>
    <row r="38" spans="2:30" ht="15.75" customHeight="1" thickBot="1">
      <c r="G38" s="105" t="s">
        <v>35</v>
      </c>
      <c r="H38" s="106"/>
      <c r="I38" s="106"/>
      <c r="J38" s="107"/>
      <c r="L38" s="108" t="s">
        <v>2</v>
      </c>
      <c r="M38" s="109"/>
      <c r="N38" s="7"/>
      <c r="O38" s="7"/>
      <c r="P38" s="65" t="s">
        <v>36</v>
      </c>
      <c r="Q38" s="66">
        <f>SUM(G40:G42)/SUM(G40:G42,J40:J42)</f>
        <v>0.98750000000000004</v>
      </c>
    </row>
    <row r="39" spans="2:30" ht="15.75" customHeight="1" thickBot="1">
      <c r="G39" s="59" t="s">
        <v>13</v>
      </c>
      <c r="H39" s="60" t="s">
        <v>14</v>
      </c>
      <c r="I39" s="60" t="s">
        <v>15</v>
      </c>
      <c r="J39" s="61" t="s">
        <v>16</v>
      </c>
      <c r="L39" s="59" t="s">
        <v>13</v>
      </c>
      <c r="M39" s="61" t="s">
        <v>14</v>
      </c>
      <c r="N39" s="7"/>
      <c r="O39" s="7"/>
      <c r="P39" s="67" t="s">
        <v>37</v>
      </c>
      <c r="Q39" s="68">
        <f>SUM(H40:H42)/SUM(H40:I42)</f>
        <v>1</v>
      </c>
    </row>
    <row r="40" spans="2:30" ht="15.75" customHeight="1">
      <c r="F40" s="62" t="s">
        <v>25</v>
      </c>
      <c r="G40" s="20">
        <f>SUM(G28,G31,G34)</f>
        <v>0</v>
      </c>
      <c r="H40" s="21">
        <f t="shared" ref="H40:J40" si="2">SUM(H28,H31,H34)</f>
        <v>30</v>
      </c>
      <c r="I40" s="21">
        <f t="shared" si="2"/>
        <v>0</v>
      </c>
      <c r="J40" s="19">
        <f t="shared" si="2"/>
        <v>0</v>
      </c>
      <c r="L40" s="20">
        <f t="shared" ref="L40:M42" si="3">SUM(L28,L31,L34)</f>
        <v>0</v>
      </c>
      <c r="M40" s="19">
        <f t="shared" si="3"/>
        <v>30</v>
      </c>
      <c r="N40" s="7"/>
      <c r="O40" s="7"/>
      <c r="P40" s="67" t="s">
        <v>38</v>
      </c>
      <c r="Q40" s="68">
        <f>1-Q38</f>
        <v>1.2499999999999956E-2</v>
      </c>
    </row>
    <row r="41" spans="2:30" ht="15.75" customHeight="1">
      <c r="F41" s="62" t="s">
        <v>27</v>
      </c>
      <c r="G41" s="32">
        <f t="shared" ref="G41:J42" si="4">SUM(G29,G32,G35)</f>
        <v>29</v>
      </c>
      <c r="H41" s="30">
        <f t="shared" si="4"/>
        <v>31</v>
      </c>
      <c r="I41" s="30">
        <f t="shared" si="4"/>
        <v>0</v>
      </c>
      <c r="J41" s="31">
        <f t="shared" si="4"/>
        <v>0</v>
      </c>
      <c r="L41" s="32">
        <f t="shared" si="3"/>
        <v>29</v>
      </c>
      <c r="M41" s="31">
        <f t="shared" si="3"/>
        <v>31</v>
      </c>
      <c r="N41" s="7"/>
      <c r="O41" s="7"/>
      <c r="P41" s="67" t="s">
        <v>39</v>
      </c>
      <c r="Q41" s="69">
        <f>1-Q39</f>
        <v>0</v>
      </c>
    </row>
    <row r="42" spans="2:30" ht="15.75" customHeight="1" thickBot="1">
      <c r="F42" s="62" t="s">
        <v>29</v>
      </c>
      <c r="G42" s="51">
        <f t="shared" si="4"/>
        <v>50</v>
      </c>
      <c r="H42" s="39">
        <f t="shared" si="4"/>
        <v>9</v>
      </c>
      <c r="I42" s="39">
        <f t="shared" si="4"/>
        <v>0</v>
      </c>
      <c r="J42" s="40">
        <f t="shared" si="4"/>
        <v>1</v>
      </c>
      <c r="L42" s="51">
        <f t="shared" si="3"/>
        <v>51</v>
      </c>
      <c r="M42" s="40">
        <f t="shared" si="3"/>
        <v>9</v>
      </c>
      <c r="N42" s="7"/>
      <c r="O42" s="7"/>
      <c r="P42" s="70" t="s">
        <v>40</v>
      </c>
      <c r="Q42" s="71">
        <f>SUM(G40:H42)/SUM(G40:J42)</f>
        <v>0.99333333333333329</v>
      </c>
    </row>
    <row r="43" spans="2:30" ht="15.75" customHeight="1">
      <c r="G43" s="7">
        <f>SUM(G40:G42)</f>
        <v>79</v>
      </c>
      <c r="H43" s="7">
        <f>SUM(H40:H42)</f>
        <v>70</v>
      </c>
      <c r="I43" s="7">
        <f>SUM(I40:I42)</f>
        <v>0</v>
      </c>
      <c r="J43" s="7">
        <f>SUM(J40:J42)</f>
        <v>1</v>
      </c>
      <c r="K43" s="7"/>
      <c r="L43" s="7">
        <f>SUM(L40:L42)</f>
        <v>80</v>
      </c>
      <c r="M43" s="7">
        <f>SUM(M40:M42)</f>
        <v>70</v>
      </c>
    </row>
    <row r="47" spans="2:30" ht="15.75" customHeight="1" thickBot="1"/>
    <row r="48" spans="2:30" ht="15.75" customHeight="1" thickBot="1">
      <c r="B48" s="4"/>
      <c r="C48" s="4"/>
      <c r="D48" s="4"/>
      <c r="E48" s="4"/>
      <c r="F48" s="4"/>
      <c r="G48" s="96" t="s">
        <v>59</v>
      </c>
      <c r="H48" s="97"/>
      <c r="I48" s="97"/>
      <c r="J48" s="98"/>
      <c r="K48" s="6"/>
      <c r="L48" s="96" t="s">
        <v>2</v>
      </c>
      <c r="M48" s="99"/>
      <c r="N48" s="7"/>
      <c r="O48" s="7"/>
      <c r="P48" s="100" t="s">
        <v>3</v>
      </c>
      <c r="Q48" s="101"/>
      <c r="R48" s="102"/>
      <c r="S48" s="103" t="s">
        <v>4</v>
      </c>
      <c r="T48" s="101"/>
      <c r="U48" s="104"/>
      <c r="V48" s="100" t="s">
        <v>5</v>
      </c>
      <c r="W48" s="101"/>
      <c r="X48" s="102"/>
      <c r="Y48" s="103" t="s">
        <v>6</v>
      </c>
      <c r="Z48" s="101"/>
      <c r="AA48" s="104"/>
      <c r="AB48" s="80" t="s">
        <v>7</v>
      </c>
      <c r="AC48" s="7"/>
      <c r="AD48" s="7"/>
    </row>
    <row r="49" spans="2:30" ht="15.75" customHeight="1" thickBot="1">
      <c r="B49" s="5" t="s">
        <v>8</v>
      </c>
      <c r="C49" s="8" t="s">
        <v>9</v>
      </c>
      <c r="D49" s="9" t="s">
        <v>10</v>
      </c>
      <c r="E49" s="9" t="s">
        <v>11</v>
      </c>
      <c r="F49" s="10" t="s">
        <v>12</v>
      </c>
      <c r="G49" s="8" t="s">
        <v>13</v>
      </c>
      <c r="H49" s="9" t="s">
        <v>14</v>
      </c>
      <c r="I49" s="9" t="s">
        <v>15</v>
      </c>
      <c r="J49" s="11" t="s">
        <v>16</v>
      </c>
      <c r="L49" s="8" t="s">
        <v>13</v>
      </c>
      <c r="M49" s="11" t="s">
        <v>14</v>
      </c>
      <c r="N49" s="12"/>
      <c r="O49" s="12"/>
      <c r="P49" s="13" t="s">
        <v>17</v>
      </c>
      <c r="Q49" s="14" t="s">
        <v>18</v>
      </c>
      <c r="R49" s="15" t="s">
        <v>19</v>
      </c>
      <c r="S49" s="16" t="s">
        <v>17</v>
      </c>
      <c r="T49" s="14" t="s">
        <v>18</v>
      </c>
      <c r="U49" s="17" t="s">
        <v>19</v>
      </c>
      <c r="V49" s="13" t="s">
        <v>17</v>
      </c>
      <c r="W49" s="14" t="s">
        <v>18</v>
      </c>
      <c r="X49" s="15" t="s">
        <v>19</v>
      </c>
      <c r="Y49" s="16" t="s">
        <v>20</v>
      </c>
      <c r="Z49" s="14" t="s">
        <v>18</v>
      </c>
      <c r="AA49" s="17" t="s">
        <v>19</v>
      </c>
      <c r="AB49" s="81"/>
      <c r="AC49" s="12"/>
      <c r="AD49" s="12"/>
    </row>
    <row r="50" spans="2:30" ht="15.75" customHeight="1">
      <c r="B50" s="82" t="s">
        <v>50</v>
      </c>
      <c r="C50" s="86" t="s">
        <v>51</v>
      </c>
      <c r="D50" s="89" t="s">
        <v>52</v>
      </c>
      <c r="E50" s="18" t="s">
        <v>24</v>
      </c>
      <c r="F50" s="19" t="s">
        <v>25</v>
      </c>
      <c r="G50" s="20">
        <v>0</v>
      </c>
      <c r="H50" s="21">
        <v>10</v>
      </c>
      <c r="I50" s="21">
        <v>0</v>
      </c>
      <c r="J50" s="19">
        <v>0</v>
      </c>
      <c r="L50" s="22">
        <v>0</v>
      </c>
      <c r="M50" s="23">
        <v>10</v>
      </c>
      <c r="N50" s="7"/>
      <c r="O50" s="7"/>
      <c r="P50" s="24" t="s">
        <v>26</v>
      </c>
      <c r="Q50" s="25" t="s">
        <v>26</v>
      </c>
      <c r="R50" s="26" t="s">
        <v>26</v>
      </c>
      <c r="S50" s="27" t="s">
        <v>26</v>
      </c>
      <c r="T50" s="25" t="s">
        <v>26</v>
      </c>
      <c r="U50" s="26" t="s">
        <v>26</v>
      </c>
      <c r="V50" s="27" t="s">
        <v>26</v>
      </c>
      <c r="W50" s="25" t="s">
        <v>26</v>
      </c>
      <c r="X50" s="28" t="s">
        <v>26</v>
      </c>
      <c r="Y50" s="27" t="s">
        <v>26</v>
      </c>
      <c r="Z50" s="25" t="s">
        <v>26</v>
      </c>
      <c r="AA50" s="26" t="s">
        <v>26</v>
      </c>
      <c r="AB50" s="29" t="s">
        <v>24</v>
      </c>
      <c r="AC50" s="7"/>
      <c r="AD50" s="7"/>
    </row>
    <row r="51" spans="2:30" ht="15.75" customHeight="1">
      <c r="B51" s="83"/>
      <c r="C51" s="87"/>
      <c r="D51" s="90"/>
      <c r="E51" s="30" t="s">
        <v>24</v>
      </c>
      <c r="F51" s="31" t="s">
        <v>27</v>
      </c>
      <c r="G51" s="32">
        <v>11</v>
      </c>
      <c r="H51" s="30">
        <v>9</v>
      </c>
      <c r="I51" s="30">
        <v>0</v>
      </c>
      <c r="J51" s="31">
        <v>0</v>
      </c>
      <c r="L51" s="32">
        <v>11</v>
      </c>
      <c r="M51" s="31">
        <v>9</v>
      </c>
      <c r="N51" s="7"/>
      <c r="O51" s="7"/>
      <c r="P51" s="33">
        <f>SUM(G51,I51)/SUM(G51:J51)</f>
        <v>0.55000000000000004</v>
      </c>
      <c r="Q51" s="34">
        <f>((SUM(G51,I51)+1.3613)-(1.65*SQRT(SUM(G51,I51)-(SUM(G51,I51)^2/SUM(G51:J51))+0.6806)))/(SUM(G51:J51)+2.7225)</f>
        <v>0.37170355009739847</v>
      </c>
      <c r="R51" s="35">
        <f>((SUM(G51,I51)+1.3613)+(1.65*SQRT(SUM(G51,I51)-(SUM(G51,I51)^2/SUM(G51:J51))+0.6806)))/(SUM(G51:J51)+2.7225)</f>
        <v>0.71631933470841069</v>
      </c>
      <c r="S51" s="33">
        <f>G51/SUM(G51:J51)</f>
        <v>0.55000000000000004</v>
      </c>
      <c r="T51" s="34">
        <f>((G51+1.3613)-(1.65*SQRT(G51-(G51^2/SUM(G51:J51))+0.6806)))/(SUM(G51:J51)+2.7225)</f>
        <v>0.37170355009739847</v>
      </c>
      <c r="U51" s="35">
        <f>((G51+1.3613)+(1.65*SQRT(G51-(G51^2/SUM(G51:J51))+0.6806)))/(SUM(G51:J51)+2.7225)</f>
        <v>0.71631933470841069</v>
      </c>
      <c r="V51" s="33">
        <f>L51/SUM(L51:M51)</f>
        <v>0.55000000000000004</v>
      </c>
      <c r="W51" s="34">
        <f>((L51+1.3613)-(1.65*SQRT(L51-(L51^2/SUM(L51:M51))+0.6806)))/(SUM(L51:M51)+2.7225)</f>
        <v>0.37170355009739847</v>
      </c>
      <c r="X51" s="36">
        <f>((L51+1.3613)+(1.65*SQRT(L51-(L51^2/SUM(L51:M51))+0.6806)))/(SUM(L51:M51)+2.7225)</f>
        <v>0.71631933470841069</v>
      </c>
      <c r="Y51" s="33">
        <f>S51-V51</f>
        <v>0</v>
      </c>
      <c r="Z51" s="34">
        <f>Y51-SQRT((S51-T51)^2+(V51-X51)^2)</f>
        <v>-0.24382728548240709</v>
      </c>
      <c r="AA51" s="35">
        <f>Y51+SQRT((S51-U51)^2+(V51-W51)^2)</f>
        <v>0.24382728548240709</v>
      </c>
      <c r="AB51" s="37" t="s">
        <v>28</v>
      </c>
      <c r="AC51" s="38"/>
      <c r="AD51" s="7"/>
    </row>
    <row r="52" spans="2:30" ht="15.75" customHeight="1" thickBot="1">
      <c r="B52" s="83"/>
      <c r="C52" s="88"/>
      <c r="D52" s="91"/>
      <c r="E52" s="39" t="s">
        <v>24</v>
      </c>
      <c r="F52" s="40" t="s">
        <v>29</v>
      </c>
      <c r="G52" s="32">
        <v>20</v>
      </c>
      <c r="H52" s="30">
        <v>0</v>
      </c>
      <c r="I52" s="30">
        <v>0</v>
      </c>
      <c r="J52" s="31">
        <v>0</v>
      </c>
      <c r="L52" s="32">
        <v>20</v>
      </c>
      <c r="M52" s="31">
        <v>0</v>
      </c>
      <c r="N52" s="7"/>
      <c r="O52" s="7"/>
      <c r="P52" s="33">
        <f>SUM(G52,I52)/SUM(G52:J52)</f>
        <v>1</v>
      </c>
      <c r="Q52" s="34">
        <f>((SUM(G52,I52)+1.3613)-(1.65*SQRT(SUM(G52,I52)-(SUM(G52,I52)^2/SUM(G52:J52))+0.6806)))/(SUM(G52:J52)+2.7225)</f>
        <v>0.88018813951940023</v>
      </c>
      <c r="R52" s="35">
        <f>((SUM(G52,I52)+1.3613)+(1.65*SQRT(SUM(G52,I52)-(SUM(G52,I52)^2/SUM(G52:J52))+0.6806)))/(SUM(G52:J52)+2.7225)</f>
        <v>1.0000011002209452</v>
      </c>
      <c r="S52" s="33">
        <f>G52/SUM(G52:J52)</f>
        <v>1</v>
      </c>
      <c r="T52" s="34">
        <f>((G52+1.3613)-(1.65*SQRT(G52-(G52^2/SUM(G52:J52))+0.6806)))/(SUM(G52:J52)+2.7225)</f>
        <v>0.88018813951940023</v>
      </c>
      <c r="U52" s="35">
        <f>((G52+1.3613)+(1.65*SQRT(G52-(G52^2/SUM(G52:J52))+0.6806)))/(SUM(G52:J52)+2.7225)</f>
        <v>1.0000011002209452</v>
      </c>
      <c r="V52" s="33">
        <f>L52/SUM(L52:M52)</f>
        <v>1</v>
      </c>
      <c r="W52" s="34">
        <f>((L52+1.3613)-(1.65*SQRT(L52-(L52^2/SUM(L52:M52))+0.6806)))/(SUM(L52:M52)+2.7225)</f>
        <v>0.88018813951940023</v>
      </c>
      <c r="X52" s="36">
        <f>((L52+1.3613)+(1.65*SQRT(L52-(L52^2/SUM(L52:M52))+0.6806)))/(SUM(L52:M52)+2.7225)</f>
        <v>1.0000011002209452</v>
      </c>
      <c r="Y52" s="33">
        <f>S52-V52</f>
        <v>0</v>
      </c>
      <c r="Z52" s="34">
        <f>Y52-SQRT((S52-T52)^2+(V52-X52)^2)</f>
        <v>-0.11981186048565139</v>
      </c>
      <c r="AA52" s="35">
        <f>Y52+SQRT((S52-U52)^2+(V52-W52)^2)</f>
        <v>0.11981186048565139</v>
      </c>
      <c r="AB52" s="37" t="s">
        <v>28</v>
      </c>
      <c r="AC52" s="7"/>
      <c r="AD52" s="7"/>
    </row>
    <row r="53" spans="2:30" ht="15.75" customHeight="1">
      <c r="B53" s="83"/>
      <c r="C53" s="92" t="s">
        <v>53</v>
      </c>
      <c r="D53" s="93" t="s">
        <v>54</v>
      </c>
      <c r="E53" s="41" t="s">
        <v>34</v>
      </c>
      <c r="F53" s="23" t="s">
        <v>25</v>
      </c>
      <c r="G53" s="22">
        <v>0</v>
      </c>
      <c r="H53" s="42">
        <v>10</v>
      </c>
      <c r="I53" s="42">
        <v>0</v>
      </c>
      <c r="J53" s="23">
        <v>0</v>
      </c>
      <c r="L53" s="22">
        <v>0</v>
      </c>
      <c r="M53" s="23">
        <v>10</v>
      </c>
      <c r="N53" s="7"/>
      <c r="O53" s="7"/>
      <c r="P53" s="33" t="s">
        <v>26</v>
      </c>
      <c r="Q53" s="34" t="s">
        <v>26</v>
      </c>
      <c r="R53" s="35" t="s">
        <v>26</v>
      </c>
      <c r="S53" s="33" t="s">
        <v>26</v>
      </c>
      <c r="T53" s="34" t="s">
        <v>26</v>
      </c>
      <c r="U53" s="35" t="s">
        <v>26</v>
      </c>
      <c r="V53" s="33" t="s">
        <v>26</v>
      </c>
      <c r="W53" s="34" t="s">
        <v>26</v>
      </c>
      <c r="X53" s="36" t="s">
        <v>26</v>
      </c>
      <c r="Y53" s="33" t="s">
        <v>26</v>
      </c>
      <c r="Z53" s="34" t="s">
        <v>26</v>
      </c>
      <c r="AA53" s="35" t="s">
        <v>26</v>
      </c>
      <c r="AB53" s="37" t="s">
        <v>24</v>
      </c>
      <c r="AC53" s="7"/>
      <c r="AD53" s="7"/>
    </row>
    <row r="54" spans="2:30" ht="15.75" customHeight="1">
      <c r="B54" s="83"/>
      <c r="C54" s="87"/>
      <c r="D54" s="90"/>
      <c r="E54" s="30" t="s">
        <v>34</v>
      </c>
      <c r="F54" s="31" t="s">
        <v>27</v>
      </c>
      <c r="G54" s="32">
        <v>14</v>
      </c>
      <c r="H54" s="30">
        <v>4</v>
      </c>
      <c r="I54" s="30">
        <v>0</v>
      </c>
      <c r="J54" s="73">
        <v>2</v>
      </c>
      <c r="L54" s="32">
        <v>16</v>
      </c>
      <c r="M54" s="31">
        <v>4</v>
      </c>
      <c r="N54" s="7"/>
      <c r="O54" s="7"/>
      <c r="P54" s="33">
        <f>SUM(G54,I54)/SUM(G54:J54)</f>
        <v>0.7</v>
      </c>
      <c r="Q54" s="34">
        <f>((SUM(G54,I54)+1.3613)-(1.65*SQRT(SUM(G54,I54)-(SUM(G54,I54)^2/SUM(G54:J54))+0.6806)))/(SUM(G54:J54)+2.7225)</f>
        <v>0.51561697855622868</v>
      </c>
      <c r="R54" s="35">
        <f>((SUM(G54,I54)+1.3613)+(1.65*SQRT(SUM(G54,I54)-(SUM(G54,I54)^2/SUM(G54:J54))+0.6806)))/(SUM(G54:J54)+2.7225)</f>
        <v>0.83646135789442599</v>
      </c>
      <c r="S54" s="33">
        <f>G54/SUM(G54:J54)</f>
        <v>0.7</v>
      </c>
      <c r="T54" s="34">
        <f>((G54+1.3613)-(1.65*SQRT(G54-(G54^2/SUM(G54:J54))+0.6806)))/(SUM(G54:J54)+2.7225)</f>
        <v>0.51561697855622868</v>
      </c>
      <c r="U54" s="35">
        <f>((G54+1.3613)+(1.65*SQRT(G54-(G54^2/SUM(G54:J54))+0.6806)))/(SUM(G54:J54)+2.7225)</f>
        <v>0.83646135789442599</v>
      </c>
      <c r="V54" s="33">
        <f>L54/SUM(L54:M54)</f>
        <v>0.8</v>
      </c>
      <c r="W54" s="34">
        <f>((L54+1.3613)-(1.65*SQRT(L54-(L54^2/SUM(L54:M54))+0.6806)))/(SUM(L54:M54)+2.7225)</f>
        <v>0.62101114036509186</v>
      </c>
      <c r="X54" s="36">
        <f>((L54+1.3613)+(1.65*SQRT(L54-(L54^2/SUM(L54:M54))+0.6806)))/(SUM(L54:M54)+2.7225)</f>
        <v>0.907104163848793</v>
      </c>
      <c r="Y54" s="33">
        <f>S54-V54</f>
        <v>-0.10000000000000009</v>
      </c>
      <c r="Z54" s="34">
        <f>Y54-SQRT((S54-T54)^2+(V54-X54)^2)</f>
        <v>-0.31323320686629308</v>
      </c>
      <c r="AA54" s="35">
        <f>Y54+SQRT((S54-U54)^2+(V54-W54)^2)</f>
        <v>0.12507490769029642</v>
      </c>
      <c r="AB54" s="37" t="s">
        <v>28</v>
      </c>
      <c r="AC54" s="7"/>
      <c r="AD54" s="7"/>
    </row>
    <row r="55" spans="2:30" ht="15.75" customHeight="1" thickBot="1">
      <c r="B55" s="83"/>
      <c r="C55" s="88"/>
      <c r="D55" s="91"/>
      <c r="E55" s="39" t="s">
        <v>34</v>
      </c>
      <c r="F55" s="40" t="s">
        <v>29</v>
      </c>
      <c r="G55" s="32">
        <v>20</v>
      </c>
      <c r="H55" s="30">
        <v>0</v>
      </c>
      <c r="I55" s="30">
        <v>0</v>
      </c>
      <c r="J55" s="31">
        <v>0</v>
      </c>
      <c r="L55" s="32">
        <v>20</v>
      </c>
      <c r="M55" s="31">
        <v>0</v>
      </c>
      <c r="N55" s="7"/>
      <c r="O55" s="7"/>
      <c r="P55" s="33">
        <f>SUM(G55,I55)/SUM(G55:J55)</f>
        <v>1</v>
      </c>
      <c r="Q55" s="34">
        <f>((SUM(G55,I55)+1.3613)-(1.65*SQRT(SUM(G55,I55)-(SUM(G55,I55)^2/SUM(G55:J55))+0.6806)))/(SUM(G55:J55)+2.7225)</f>
        <v>0.88018813951940023</v>
      </c>
      <c r="R55" s="35">
        <f>((SUM(G55,I55)+1.3613)+(1.65*SQRT(SUM(G55,I55)-(SUM(G55,I55)^2/SUM(G55:J55))+0.6806)))/(SUM(G55:J55)+2.7225)</f>
        <v>1.0000011002209452</v>
      </c>
      <c r="S55" s="33">
        <f>G55/SUM(G55:J55)</f>
        <v>1</v>
      </c>
      <c r="T55" s="34">
        <f>((G55+1.3613)-(1.65*SQRT(G55-(G55^2/SUM(G55:J55))+0.6806)))/(SUM(G55:J55)+2.7225)</f>
        <v>0.88018813951940023</v>
      </c>
      <c r="U55" s="35">
        <f>((G55+1.3613)+(1.65*SQRT(G55-(G55^2/SUM(G55:J55))+0.6806)))/(SUM(G55:J55)+2.7225)</f>
        <v>1.0000011002209452</v>
      </c>
      <c r="V55" s="33">
        <f>L55/SUM(L55:M55)</f>
        <v>1</v>
      </c>
      <c r="W55" s="34">
        <f>((L55+1.3613)-(1.65*SQRT(L55-(L55^2/SUM(L55:M55))+0.6806)))/(SUM(L55:M55)+2.7225)</f>
        <v>0.88018813951940023</v>
      </c>
      <c r="X55" s="36">
        <f>((L55+1.3613)+(1.65*SQRT(L55-(L55^2/SUM(L55:M55))+0.6806)))/(SUM(L55:M55)+2.7225)</f>
        <v>1.0000011002209452</v>
      </c>
      <c r="Y55" s="33">
        <f>S55-V55</f>
        <v>0</v>
      </c>
      <c r="Z55" s="34">
        <f>Y55-SQRT((S55-T55)^2+(V55-X55)^2)</f>
        <v>-0.11981186048565139</v>
      </c>
      <c r="AA55" s="35">
        <f>Y55+SQRT((S55-U55)^2+(V55-W55)^2)</f>
        <v>0.11981186048565139</v>
      </c>
      <c r="AB55" s="37" t="s">
        <v>28</v>
      </c>
      <c r="AC55" s="7"/>
      <c r="AD55" s="7"/>
    </row>
    <row r="56" spans="2:30" ht="15.75" customHeight="1">
      <c r="B56" s="83"/>
      <c r="C56" s="92" t="s">
        <v>55</v>
      </c>
      <c r="D56" s="93" t="s">
        <v>56</v>
      </c>
      <c r="E56" s="41" t="s">
        <v>24</v>
      </c>
      <c r="F56" s="23" t="s">
        <v>25</v>
      </c>
      <c r="G56" s="22">
        <v>0</v>
      </c>
      <c r="H56" s="42">
        <v>10</v>
      </c>
      <c r="I56" s="42">
        <v>0</v>
      </c>
      <c r="J56" s="23">
        <v>0</v>
      </c>
      <c r="L56" s="22">
        <v>0</v>
      </c>
      <c r="M56" s="23">
        <v>10</v>
      </c>
      <c r="N56" s="7"/>
      <c r="O56" s="7"/>
      <c r="P56" s="33" t="s">
        <v>26</v>
      </c>
      <c r="Q56" s="34" t="s">
        <v>26</v>
      </c>
      <c r="R56" s="35" t="s">
        <v>26</v>
      </c>
      <c r="S56" s="33" t="s">
        <v>26</v>
      </c>
      <c r="T56" s="34" t="s">
        <v>26</v>
      </c>
      <c r="U56" s="35" t="s">
        <v>26</v>
      </c>
      <c r="V56" s="33" t="s">
        <v>26</v>
      </c>
      <c r="W56" s="34" t="s">
        <v>26</v>
      </c>
      <c r="X56" s="36" t="s">
        <v>26</v>
      </c>
      <c r="Y56" s="33" t="s">
        <v>26</v>
      </c>
      <c r="Z56" s="34" t="s">
        <v>26</v>
      </c>
      <c r="AA56" s="35" t="s">
        <v>26</v>
      </c>
      <c r="AB56" s="37" t="s">
        <v>24</v>
      </c>
      <c r="AC56" s="7"/>
      <c r="AD56" s="7"/>
    </row>
    <row r="57" spans="2:30" ht="15.75" customHeight="1">
      <c r="B57" s="84"/>
      <c r="C57" s="94"/>
      <c r="D57" s="95"/>
      <c r="E57" s="43" t="s">
        <v>24</v>
      </c>
      <c r="F57" s="44" t="s">
        <v>27</v>
      </c>
      <c r="G57" s="45">
        <v>13</v>
      </c>
      <c r="H57" s="46">
        <v>7</v>
      </c>
      <c r="I57" s="46">
        <v>0</v>
      </c>
      <c r="J57" s="44">
        <v>0</v>
      </c>
      <c r="L57" s="45">
        <v>13</v>
      </c>
      <c r="M57" s="44">
        <v>7</v>
      </c>
      <c r="N57" s="7"/>
      <c r="O57" s="7"/>
      <c r="P57" s="47">
        <f>SUM(G57,I57)/SUM(G57:J57)</f>
        <v>0.65</v>
      </c>
      <c r="Q57" s="48">
        <f>((SUM(G57,I57)+1.3613)-(1.65*SQRT(SUM(G57,I57)-(SUM(G57,I57)^2/SUM(G57:J57))+0.6806)))/(SUM(G57:J57)+2.7225)</f>
        <v>0.46595518412280768</v>
      </c>
      <c r="R57" s="49">
        <f>((SUM(G57,I57)+1.3613)+(1.65*SQRT(SUM(G57,I57)-(SUM(G57,I57)^2/SUM(G57:J57))+0.6806)))/(SUM(G57:J57)+2.7225)</f>
        <v>0.79810466844623185</v>
      </c>
      <c r="S57" s="47">
        <f>G57/SUM(G57:J57)</f>
        <v>0.65</v>
      </c>
      <c r="T57" s="48">
        <f>((G57+1.3613)-(1.65*SQRT(G57-(G57^2/SUM(G57:J57))+0.6806)))/(SUM(G57:J57)+2.7225)</f>
        <v>0.46595518412280768</v>
      </c>
      <c r="U57" s="49">
        <f>((G57+1.3613)+(1.65*SQRT(G57-(G57^2/SUM(G57:J57))+0.6806)))/(SUM(G57:J57)+2.7225)</f>
        <v>0.79810466844623185</v>
      </c>
      <c r="V57" s="47">
        <f>L57/SUM(L57:M57)</f>
        <v>0.65</v>
      </c>
      <c r="W57" s="48">
        <f>((L57+1.3613)-(1.65*SQRT(L57-(L57^2/SUM(L57:M57))+0.6806)))/(SUM(L57:M57)+2.7225)</f>
        <v>0.46595518412280768</v>
      </c>
      <c r="X57" s="50">
        <f>((L57+1.3613)+(1.65*SQRT(L57-(L57^2/SUM(L57:M57))+0.6806)))/(SUM(L57:M57)+2.7225)</f>
        <v>0.79810466844623185</v>
      </c>
      <c r="Y57" s="47">
        <f>S57-V57</f>
        <v>0</v>
      </c>
      <c r="Z57" s="48">
        <f>Y57-SQRT((S57-T57)^2+(V57-X57)^2)</f>
        <v>-0.23623608332944798</v>
      </c>
      <c r="AA57" s="49">
        <f>Y57+SQRT((S57-U57)^2+(V57-W57)^2)</f>
        <v>0.23623608332944798</v>
      </c>
      <c r="AB57" s="37" t="s">
        <v>28</v>
      </c>
      <c r="AC57" s="7"/>
      <c r="AD57" s="7"/>
    </row>
    <row r="58" spans="2:30" ht="15.75" customHeight="1" thickBot="1">
      <c r="B58" s="85"/>
      <c r="C58" s="88"/>
      <c r="D58" s="91"/>
      <c r="E58" s="39" t="s">
        <v>24</v>
      </c>
      <c r="F58" s="40" t="s">
        <v>29</v>
      </c>
      <c r="G58" s="51">
        <v>20</v>
      </c>
      <c r="H58" s="39">
        <v>0</v>
      </c>
      <c r="I58" s="39">
        <v>0</v>
      </c>
      <c r="J58" s="40">
        <v>0</v>
      </c>
      <c r="L58" s="51">
        <v>20</v>
      </c>
      <c r="M58" s="40">
        <v>0</v>
      </c>
      <c r="N58" s="7"/>
      <c r="O58" s="7"/>
      <c r="P58" s="52">
        <f>SUM(G58,I58)/SUM(G58:J58)</f>
        <v>1</v>
      </c>
      <c r="Q58" s="53">
        <f>((SUM(G58,I58)+1.3613)-(1.65*SQRT(SUM(G58,I58)-(SUM(G58,I58)^2/SUM(G58:J58))+0.6806)))/(SUM(G58:J58)+2.7225)</f>
        <v>0.88018813951940023</v>
      </c>
      <c r="R58" s="54">
        <f>((SUM(G58,I58)+1.3613)+(1.65*SQRT(SUM(G58,I58)-(SUM(G58,I58)^2/SUM(G58:J58))+0.6806)))/(SUM(G58:J58)+2.7225)</f>
        <v>1.0000011002209452</v>
      </c>
      <c r="S58" s="52">
        <f>G58/SUM(G58:J58)</f>
        <v>1</v>
      </c>
      <c r="T58" s="53">
        <f>((G58+1.3613)-(1.65*SQRT(G58-(G58^2/SUM(G58:J58))+0.6806)))/(SUM(G58:J58)+2.7225)</f>
        <v>0.88018813951940023</v>
      </c>
      <c r="U58" s="54">
        <f>((G58+1.3613)+(1.65*SQRT(G58-(G58^2/SUM(G58:J58))+0.6806)))/(SUM(G58:J58)+2.7225)</f>
        <v>1.0000011002209452</v>
      </c>
      <c r="V58" s="52">
        <f>L58/SUM(L58:M58)</f>
        <v>1</v>
      </c>
      <c r="W58" s="53">
        <f>((L58+1.3613)-(1.65*SQRT(L58-(L58^2/SUM(L58:M58))+0.6806)))/(SUM(L58:M58)+2.7225)</f>
        <v>0.88018813951940023</v>
      </c>
      <c r="X58" s="55">
        <f>((L58+1.3613)+(1.65*SQRT(L58-(L58^2/SUM(L58:M58))+0.6806)))/(SUM(L58:M58)+2.7225)</f>
        <v>1.0000011002209452</v>
      </c>
      <c r="Y58" s="52">
        <f>S58-V58</f>
        <v>0</v>
      </c>
      <c r="Z58" s="53">
        <f>Y58-SQRT((S58-T58)^2+(V58-X58)^2)</f>
        <v>-0.11981186048565139</v>
      </c>
      <c r="AA58" s="54">
        <f>Y58+SQRT((S58-U58)^2+(V58-W58)^2)</f>
        <v>0.11981186048565139</v>
      </c>
      <c r="AB58" s="56" t="s">
        <v>28</v>
      </c>
      <c r="AC58" s="7"/>
      <c r="AD58" s="7"/>
    </row>
    <row r="59" spans="2:30" ht="15.75" customHeight="1" thickBot="1"/>
    <row r="60" spans="2:30" ht="15.75" customHeight="1" thickBot="1">
      <c r="G60" s="105" t="s">
        <v>35</v>
      </c>
      <c r="H60" s="106"/>
      <c r="I60" s="106"/>
      <c r="J60" s="107"/>
      <c r="L60" s="108" t="s">
        <v>2</v>
      </c>
      <c r="M60" s="109"/>
      <c r="N60" s="7"/>
      <c r="O60" s="7"/>
      <c r="P60" s="65" t="s">
        <v>36</v>
      </c>
      <c r="Q60" s="66">
        <f>SUM(G62:G64)/SUM(G62:G64,J62:J64)</f>
        <v>0.98</v>
      </c>
    </row>
    <row r="61" spans="2:30" ht="15.75" customHeight="1" thickBot="1">
      <c r="G61" s="59" t="s">
        <v>13</v>
      </c>
      <c r="H61" s="60" t="s">
        <v>14</v>
      </c>
      <c r="I61" s="60" t="s">
        <v>15</v>
      </c>
      <c r="J61" s="61" t="s">
        <v>16</v>
      </c>
      <c r="L61" s="59" t="s">
        <v>13</v>
      </c>
      <c r="M61" s="61" t="s">
        <v>14</v>
      </c>
      <c r="N61" s="7"/>
      <c r="O61" s="7"/>
      <c r="P61" s="67" t="s">
        <v>37</v>
      </c>
      <c r="Q61" s="68">
        <f>SUM(H62:H64)/SUM(H62:I64)</f>
        <v>1</v>
      </c>
    </row>
    <row r="62" spans="2:30" ht="15.75" customHeight="1">
      <c r="F62" s="62" t="s">
        <v>25</v>
      </c>
      <c r="G62" s="20">
        <f>SUM(G50,G53,G56)</f>
        <v>0</v>
      </c>
      <c r="H62" s="21">
        <f t="shared" ref="H62:J62" si="5">SUM(H50,H53,H56)</f>
        <v>30</v>
      </c>
      <c r="I62" s="21">
        <f t="shared" si="5"/>
        <v>0</v>
      </c>
      <c r="J62" s="19">
        <f t="shared" si="5"/>
        <v>0</v>
      </c>
      <c r="L62" s="20">
        <f t="shared" ref="L62:M64" si="6">SUM(L50,L53,L56)</f>
        <v>0</v>
      </c>
      <c r="M62" s="19">
        <f t="shared" si="6"/>
        <v>30</v>
      </c>
      <c r="N62" s="7"/>
      <c r="O62" s="7"/>
      <c r="P62" s="67" t="s">
        <v>38</v>
      </c>
      <c r="Q62" s="68">
        <f>1-Q60</f>
        <v>2.0000000000000018E-2</v>
      </c>
    </row>
    <row r="63" spans="2:30" ht="15.75" customHeight="1">
      <c r="F63" s="62" t="s">
        <v>27</v>
      </c>
      <c r="G63" s="32">
        <f t="shared" ref="G63:J64" si="7">SUM(G51,G54,G57)</f>
        <v>38</v>
      </c>
      <c r="H63" s="30">
        <f t="shared" si="7"/>
        <v>20</v>
      </c>
      <c r="I63" s="30">
        <f t="shared" si="7"/>
        <v>0</v>
      </c>
      <c r="J63" s="31">
        <f t="shared" si="7"/>
        <v>2</v>
      </c>
      <c r="L63" s="32">
        <f t="shared" si="6"/>
        <v>40</v>
      </c>
      <c r="M63" s="31">
        <f t="shared" si="6"/>
        <v>20</v>
      </c>
      <c r="N63" s="7"/>
      <c r="O63" s="7"/>
      <c r="P63" s="67" t="s">
        <v>39</v>
      </c>
      <c r="Q63" s="69">
        <f>1-Q61</f>
        <v>0</v>
      </c>
    </row>
    <row r="64" spans="2:30" ht="15.75" customHeight="1" thickBot="1">
      <c r="F64" s="62" t="s">
        <v>29</v>
      </c>
      <c r="G64" s="51">
        <f t="shared" si="7"/>
        <v>60</v>
      </c>
      <c r="H64" s="39">
        <f t="shared" si="7"/>
        <v>0</v>
      </c>
      <c r="I64" s="39">
        <f t="shared" si="7"/>
        <v>0</v>
      </c>
      <c r="J64" s="40">
        <f t="shared" si="7"/>
        <v>0</v>
      </c>
      <c r="L64" s="51">
        <f t="shared" si="6"/>
        <v>60</v>
      </c>
      <c r="M64" s="40">
        <f t="shared" si="6"/>
        <v>0</v>
      </c>
      <c r="N64" s="7"/>
      <c r="O64" s="7"/>
      <c r="P64" s="70" t="s">
        <v>40</v>
      </c>
      <c r="Q64" s="71">
        <f>SUM(G62:H64)/SUM(G62:J64)</f>
        <v>0.98666666666666669</v>
      </c>
    </row>
    <row r="65" spans="6:17" ht="15.75" customHeight="1">
      <c r="G65" s="7">
        <f>SUM(G62:G64)</f>
        <v>98</v>
      </c>
      <c r="H65" s="7">
        <f>SUM(H62:H64)</f>
        <v>50</v>
      </c>
      <c r="I65" s="7">
        <f>SUM(I62:I64)</f>
        <v>0</v>
      </c>
      <c r="J65" s="7">
        <f>SUM(J62:J64)</f>
        <v>2</v>
      </c>
      <c r="K65" s="7"/>
      <c r="L65" s="7">
        <f>SUM(L62:L64)</f>
        <v>100</v>
      </c>
      <c r="M65" s="7">
        <f>SUM(M62:M64)</f>
        <v>50</v>
      </c>
    </row>
    <row r="69" spans="6:17" ht="15.75" customHeight="1" thickBot="1">
      <c r="G69" s="64" t="s">
        <v>57</v>
      </c>
    </row>
    <row r="70" spans="6:17" ht="15.75" customHeight="1" thickBot="1">
      <c r="G70" s="105" t="s">
        <v>35</v>
      </c>
      <c r="H70" s="106"/>
      <c r="I70" s="106"/>
      <c r="J70" s="107"/>
      <c r="L70" s="108" t="s">
        <v>2</v>
      </c>
      <c r="M70" s="109"/>
      <c r="P70" s="65" t="s">
        <v>36</v>
      </c>
      <c r="Q70" s="66">
        <f>SUM(G72:G74)/SUM(G72:G74,J72:J74)</f>
        <v>0.9850746268656716</v>
      </c>
    </row>
    <row r="71" spans="6:17" ht="15.75" customHeight="1" thickBot="1">
      <c r="G71" s="59" t="s">
        <v>13</v>
      </c>
      <c r="H71" s="60" t="s">
        <v>14</v>
      </c>
      <c r="I71" s="60" t="s">
        <v>15</v>
      </c>
      <c r="J71" s="61" t="s">
        <v>16</v>
      </c>
      <c r="L71" s="59" t="s">
        <v>13</v>
      </c>
      <c r="M71" s="61" t="s">
        <v>14</v>
      </c>
      <c r="P71" s="67" t="s">
        <v>37</v>
      </c>
      <c r="Q71" s="68">
        <f>SUM(H72:H74)/SUM(H72:I74)</f>
        <v>1</v>
      </c>
    </row>
    <row r="72" spans="6:17" ht="15.75" customHeight="1">
      <c r="F72" s="62" t="s">
        <v>25</v>
      </c>
      <c r="G72" s="20">
        <f t="shared" ref="G72:J74" si="8">SUM(G6,G9,G12,G28,G31,G34,G50,G53,G56)</f>
        <v>0</v>
      </c>
      <c r="H72" s="21">
        <f t="shared" si="8"/>
        <v>90</v>
      </c>
      <c r="I72" s="21">
        <f t="shared" si="8"/>
        <v>0</v>
      </c>
      <c r="J72" s="19">
        <f t="shared" si="8"/>
        <v>0</v>
      </c>
      <c r="L72" s="20">
        <f t="shared" ref="L72:M74" si="9">SUM(L6,L9,L12,L28,L31,L34,L50,L53,L56)</f>
        <v>0</v>
      </c>
      <c r="M72" s="19">
        <f t="shared" si="9"/>
        <v>90</v>
      </c>
      <c r="P72" s="67" t="s">
        <v>38</v>
      </c>
      <c r="Q72" s="68">
        <f>1-Q70</f>
        <v>1.4925373134328401E-2</v>
      </c>
    </row>
    <row r="73" spans="6:17" ht="15.75" customHeight="1">
      <c r="F73" s="62" t="s">
        <v>27</v>
      </c>
      <c r="G73" s="32">
        <f t="shared" si="8"/>
        <v>100</v>
      </c>
      <c r="H73" s="30">
        <f t="shared" si="8"/>
        <v>77</v>
      </c>
      <c r="I73" s="30">
        <f t="shared" si="8"/>
        <v>0</v>
      </c>
      <c r="J73" s="31">
        <f t="shared" si="8"/>
        <v>3</v>
      </c>
      <c r="L73" s="32">
        <f t="shared" si="9"/>
        <v>103</v>
      </c>
      <c r="M73" s="31">
        <f t="shared" si="9"/>
        <v>77</v>
      </c>
      <c r="P73" s="67" t="s">
        <v>39</v>
      </c>
      <c r="Q73" s="69">
        <f>1-Q71</f>
        <v>0</v>
      </c>
    </row>
    <row r="74" spans="6:17" ht="15.75" customHeight="1" thickBot="1">
      <c r="F74" s="62" t="s">
        <v>29</v>
      </c>
      <c r="G74" s="51">
        <f t="shared" si="8"/>
        <v>164</v>
      </c>
      <c r="H74" s="39">
        <f t="shared" si="8"/>
        <v>15</v>
      </c>
      <c r="I74" s="39">
        <f t="shared" si="8"/>
        <v>0</v>
      </c>
      <c r="J74" s="40">
        <f t="shared" si="8"/>
        <v>1</v>
      </c>
      <c r="L74" s="51">
        <f t="shared" si="9"/>
        <v>165</v>
      </c>
      <c r="M74" s="40">
        <f t="shared" si="9"/>
        <v>15</v>
      </c>
      <c r="P74" s="70" t="s">
        <v>40</v>
      </c>
      <c r="Q74" s="71">
        <f>SUM(G72:H74)/SUM(G72:J74)</f>
        <v>0.99111111111111116</v>
      </c>
    </row>
    <row r="75" spans="6:17" ht="15.75" customHeight="1">
      <c r="G75" s="7">
        <f>SUM(G72:G74)</f>
        <v>264</v>
      </c>
      <c r="H75" s="7">
        <f t="shared" ref="H75:J75" si="10">SUM(H72:H74)</f>
        <v>182</v>
      </c>
      <c r="I75" s="7">
        <f t="shared" si="10"/>
        <v>0</v>
      </c>
      <c r="J75" s="7">
        <f t="shared" si="10"/>
        <v>4</v>
      </c>
      <c r="K75" s="7"/>
      <c r="L75" s="7">
        <f t="shared" ref="L75:M75" si="11">SUM(L72:L74)</f>
        <v>268</v>
      </c>
      <c r="M75" s="7">
        <f t="shared" si="11"/>
        <v>182</v>
      </c>
    </row>
  </sheetData>
  <mergeCells count="50">
    <mergeCell ref="G60:J60"/>
    <mergeCell ref="L60:M60"/>
    <mergeCell ref="G70:J70"/>
    <mergeCell ref="L70:M70"/>
    <mergeCell ref="V48:X48"/>
    <mergeCell ref="Y48:AA48"/>
    <mergeCell ref="AB48:AB49"/>
    <mergeCell ref="B50:B58"/>
    <mergeCell ref="C50:C52"/>
    <mergeCell ref="D50:D52"/>
    <mergeCell ref="C53:C55"/>
    <mergeCell ref="D53:D55"/>
    <mergeCell ref="C56:C58"/>
    <mergeCell ref="D56:D58"/>
    <mergeCell ref="S48:U48"/>
    <mergeCell ref="G38:J38"/>
    <mergeCell ref="L38:M38"/>
    <mergeCell ref="G48:J48"/>
    <mergeCell ref="L48:M48"/>
    <mergeCell ref="P48:R48"/>
    <mergeCell ref="V26:X26"/>
    <mergeCell ref="Y26:AA26"/>
    <mergeCell ref="AB26:AB27"/>
    <mergeCell ref="B28:B36"/>
    <mergeCell ref="C28:C30"/>
    <mergeCell ref="D28:D30"/>
    <mergeCell ref="C31:C33"/>
    <mergeCell ref="D31:D33"/>
    <mergeCell ref="C34:C36"/>
    <mergeCell ref="D34:D36"/>
    <mergeCell ref="S26:U26"/>
    <mergeCell ref="G16:J16"/>
    <mergeCell ref="L16:M16"/>
    <mergeCell ref="G26:J26"/>
    <mergeCell ref="L26:M26"/>
    <mergeCell ref="P26:R26"/>
    <mergeCell ref="AB4:AB5"/>
    <mergeCell ref="B6:B14"/>
    <mergeCell ref="C6:C8"/>
    <mergeCell ref="D6:D8"/>
    <mergeCell ref="C9:C11"/>
    <mergeCell ref="D9:D11"/>
    <mergeCell ref="C12:C14"/>
    <mergeCell ref="D12:D14"/>
    <mergeCell ref="G4:J4"/>
    <mergeCell ref="L4:M4"/>
    <mergeCell ref="P4:R4"/>
    <mergeCell ref="S4:U4"/>
    <mergeCell ref="V4:X4"/>
    <mergeCell ref="Y4:AA4"/>
  </mergeCells>
  <conditionalFormatting sqref="E7:J8 E10:J11 E14">
    <cfRule type="expression" dxfId="19" priority="19" stopIfTrue="1">
      <formula>#REF!="Fail"</formula>
    </cfRule>
  </conditionalFormatting>
  <conditionalFormatting sqref="E29:J30 E32:J33 E36">
    <cfRule type="expression" dxfId="18" priority="15" stopIfTrue="1">
      <formula>#REF!="Fail"</formula>
    </cfRule>
  </conditionalFormatting>
  <conditionalFormatting sqref="E51:J52 E54:J55 E58">
    <cfRule type="expression" dxfId="17" priority="11" stopIfTrue="1">
      <formula>#REF!="Fail"</formula>
    </cfRule>
  </conditionalFormatting>
  <conditionalFormatting sqref="F6:J6">
    <cfRule type="expression" dxfId="16" priority="18" stopIfTrue="1">
      <formula>#REF!="Fail"</formula>
    </cfRule>
  </conditionalFormatting>
  <conditionalFormatting sqref="F9:J9">
    <cfRule type="expression" dxfId="15" priority="17" stopIfTrue="1">
      <formula>#REF!="Fail"</formula>
    </cfRule>
  </conditionalFormatting>
  <conditionalFormatting sqref="F12:J14">
    <cfRule type="expression" dxfId="14" priority="16" stopIfTrue="1">
      <formula>#REF!="Fail"</formula>
    </cfRule>
  </conditionalFormatting>
  <conditionalFormatting sqref="F28:J28">
    <cfRule type="expression" dxfId="13" priority="14" stopIfTrue="1">
      <formula>#REF!="Fail"</formula>
    </cfRule>
  </conditionalFormatting>
  <conditionalFormatting sqref="F31:J31">
    <cfRule type="expression" dxfId="12" priority="13" stopIfTrue="1">
      <formula>#REF!="Fail"</formula>
    </cfRule>
  </conditionalFormatting>
  <conditionalFormatting sqref="F34:J36">
    <cfRule type="expression" dxfId="11" priority="12" stopIfTrue="1">
      <formula>#REF!="Fail"</formula>
    </cfRule>
  </conditionalFormatting>
  <conditionalFormatting sqref="F50:J50">
    <cfRule type="expression" dxfId="10" priority="10" stopIfTrue="1">
      <formula>#REF!="Fail"</formula>
    </cfRule>
  </conditionalFormatting>
  <conditionalFormatting sqref="F53:J53">
    <cfRule type="expression" dxfId="9" priority="9" stopIfTrue="1">
      <formula>#REF!="Fail"</formula>
    </cfRule>
  </conditionalFormatting>
  <conditionalFormatting sqref="F56:J58">
    <cfRule type="expression" dxfId="8" priority="8" stopIfTrue="1">
      <formula>#REF!="Fail"</formula>
    </cfRule>
  </conditionalFormatting>
  <conditionalFormatting sqref="G18:J20">
    <cfRule type="expression" dxfId="7" priority="5" stopIfTrue="1">
      <formula>#REF!="Fail"</formula>
    </cfRule>
  </conditionalFormatting>
  <conditionalFormatting sqref="G40:J42">
    <cfRule type="expression" dxfId="6" priority="3" stopIfTrue="1">
      <formula>#REF!="Fail"</formula>
    </cfRule>
  </conditionalFormatting>
  <conditionalFormatting sqref="G62:J64">
    <cfRule type="expression" dxfId="5" priority="1" stopIfTrue="1">
      <formula>#REF!="Fail"</formula>
    </cfRule>
  </conditionalFormatting>
  <conditionalFormatting sqref="G72:J74">
    <cfRule type="expression" dxfId="4" priority="7" stopIfTrue="1">
      <formula>#REF!="Fail"</formula>
    </cfRule>
  </conditionalFormatting>
  <conditionalFormatting sqref="L6:M15 L28:M36 L50:M58 L72:M74">
    <cfRule type="expression" dxfId="3" priority="20" stopIfTrue="1">
      <formula>#REF!="Fail"</formula>
    </cfRule>
  </conditionalFormatting>
  <conditionalFormatting sqref="L18:M20 L22:M25">
    <cfRule type="expression" dxfId="2" priority="6" stopIfTrue="1">
      <formula>#REF!="Fail"</formula>
    </cfRule>
  </conditionalFormatting>
  <conditionalFormatting sqref="L40:M42">
    <cfRule type="expression" dxfId="1" priority="4" stopIfTrue="1">
      <formula>#REF!="Fail"</formula>
    </cfRule>
  </conditionalFormatting>
  <conditionalFormatting sqref="L62:M64">
    <cfRule type="expression" dxfId="0" priority="2" stopIfTrue="1">
      <formula>#REF!="Fail"</formula>
    </cfRule>
  </conditionalFormatting>
  <pageMargins left="0.25" right="0.25" top="0.75" bottom="0.75" header="0.3" footer="0.3"/>
  <pageSetup scale="37" orientation="landscape" r:id="rId1"/>
  <headerFooter alignWithMargins="0">
    <oddHeader>&amp;R&amp;"Calibri"&amp;12&amp;K000000 Unclassified / Non classifié&amp;1#_x000D_</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befe4ba-026d-4305-8526-cf07e7b24d59" xsi:nil="true"/>
    <lcf76f155ced4ddcb4097134ff3c332f xmlns="07a96523-afd4-4dc9-b721-06301efa46c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61589C1FC759D4AA60564C8F3842147" ma:contentTypeVersion="12" ma:contentTypeDescription="Create a new document." ma:contentTypeScope="" ma:versionID="e192ebd17df5e88434ffecb41d2263bd">
  <xsd:schema xmlns:xsd="http://www.w3.org/2001/XMLSchema" xmlns:xs="http://www.w3.org/2001/XMLSchema" xmlns:p="http://schemas.microsoft.com/office/2006/metadata/properties" xmlns:ns2="07a96523-afd4-4dc9-b721-06301efa46cb" xmlns:ns3="fbefe4ba-026d-4305-8526-cf07e7b24d59" targetNamespace="http://schemas.microsoft.com/office/2006/metadata/properties" ma:root="true" ma:fieldsID="739d062eeac95b895d132e31371c2902" ns2:_="" ns3:_="">
    <xsd:import namespace="07a96523-afd4-4dc9-b721-06301efa46cb"/>
    <xsd:import namespace="fbefe4ba-026d-4305-8526-cf07e7b24d5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a96523-afd4-4dc9-b721-06301efa46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38d4629-38ad-4148-bc9e-acd04a442d34"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efe4ba-026d-4305-8526-cf07e7b24d5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dde4222b-b476-4838-9e72-b32a4cf4d825}" ma:internalName="TaxCatchAll" ma:showField="CatchAllData" ma:web="fbefe4ba-026d-4305-8526-cf07e7b24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9121D3-98A7-47FA-92D0-5C05AAAAA31B}"/>
</file>

<file path=customXml/itemProps2.xml><?xml version="1.0" encoding="utf-8"?>
<ds:datastoreItem xmlns:ds="http://schemas.openxmlformats.org/officeDocument/2006/customXml" ds:itemID="{401FFC84-8885-4C87-AAC1-E0BBBBA83FCB}"/>
</file>

<file path=customXml/itemProps3.xml><?xml version="1.0" encoding="utf-8"?>
<ds:datastoreItem xmlns:ds="http://schemas.openxmlformats.org/officeDocument/2006/customXml" ds:itemID="{184EF7C1-ADB1-4D0F-ABA5-EB94C499E56F}"/>
</file>

<file path=docProps/app.xml><?xml version="1.0" encoding="utf-8"?>
<Properties xmlns="http://schemas.openxmlformats.org/officeDocument/2006/extended-properties" xmlns:vt="http://schemas.openxmlformats.org/officeDocument/2006/docPropsVTypes">
  <Application>Microsoft Excel Online</Application>
  <Manager/>
  <Company>Health Canada - Santé Canada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DPlante</dc:creator>
  <cp:keywords/>
  <dc:description/>
  <cp:lastModifiedBy>Deschênes, Mylène (CFIA/ACIA)</cp:lastModifiedBy>
  <cp:revision/>
  <dcterms:created xsi:type="dcterms:W3CDTF">2012-04-23T20:56:49Z</dcterms:created>
  <dcterms:modified xsi:type="dcterms:W3CDTF">2025-09-20T19:15:59Z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d8ed60-cd71-485b-a85b-277aaf32f506_Enabled">
    <vt:lpwstr>true</vt:lpwstr>
  </property>
  <property fmtid="{D5CDD505-2E9C-101B-9397-08002B2CF9AE}" pid="3" name="MSIP_Label_05d8ed60-cd71-485b-a85b-277aaf32f506_SetDate">
    <vt:lpwstr>2025-05-30T15:40:09Z</vt:lpwstr>
  </property>
  <property fmtid="{D5CDD505-2E9C-101B-9397-08002B2CF9AE}" pid="4" name="MSIP_Label_05d8ed60-cd71-485b-a85b-277aaf32f506_Method">
    <vt:lpwstr>Standard</vt:lpwstr>
  </property>
  <property fmtid="{D5CDD505-2E9C-101B-9397-08002B2CF9AE}" pid="5" name="MSIP_Label_05d8ed60-cd71-485b-a85b-277aaf32f506_Name">
    <vt:lpwstr>Unclassified</vt:lpwstr>
  </property>
  <property fmtid="{D5CDD505-2E9C-101B-9397-08002B2CF9AE}" pid="6" name="MSIP_Label_05d8ed60-cd71-485b-a85b-277aaf32f506_SiteId">
    <vt:lpwstr>42fd9015-de4d-4223-a368-baeacab48927</vt:lpwstr>
  </property>
  <property fmtid="{D5CDD505-2E9C-101B-9397-08002B2CF9AE}" pid="7" name="MSIP_Label_05d8ed60-cd71-485b-a85b-277aaf32f506_ActionId">
    <vt:lpwstr>72553cdd-e365-4767-9d38-be4fbfe0107f</vt:lpwstr>
  </property>
  <property fmtid="{D5CDD505-2E9C-101B-9397-08002B2CF9AE}" pid="8" name="MSIP_Label_05d8ed60-cd71-485b-a85b-277aaf32f506_ContentBits">
    <vt:lpwstr>1</vt:lpwstr>
  </property>
  <property fmtid="{D5CDD505-2E9C-101B-9397-08002B2CF9AE}" pid="9" name="MSIP_Label_05d8ed60-cd71-485b-a85b-277aaf32f506_Tag">
    <vt:lpwstr>10, 3, 0, 1</vt:lpwstr>
  </property>
  <property fmtid="{D5CDD505-2E9C-101B-9397-08002B2CF9AE}" pid="10" name="Archival">
    <vt:lpwstr/>
  </property>
  <property fmtid="{D5CDD505-2E9C-101B-9397-08002B2CF9AE}" pid="11" name="Fiscal_x0020_Year">
    <vt:lpwstr/>
  </property>
  <property fmtid="{D5CDD505-2E9C-101B-9397-08002B2CF9AE}" pid="12" name="MediaServiceImageTags">
    <vt:lpwstr/>
  </property>
  <property fmtid="{D5CDD505-2E9C-101B-9397-08002B2CF9AE}" pid="13" name="Accountability">
    <vt:lpwstr>3;#Laboratories|ecf3c7b8-7787-40a2-ac5b-c0435af29266</vt:lpwstr>
  </property>
  <property fmtid="{D5CDD505-2E9C-101B-9397-08002B2CF9AE}" pid="14" name="ContentTypeId">
    <vt:lpwstr>0x010100761589C1FC759D4AA60564C8F3842147</vt:lpwstr>
  </property>
  <property fmtid="{D5CDD505-2E9C-101B-9397-08002B2CF9AE}" pid="15" name="_dlc_DocIdItemGuid">
    <vt:lpwstr>880a0201-338b-4fd9-a637-9005ff102259</vt:lpwstr>
  </property>
  <property fmtid="{D5CDD505-2E9C-101B-9397-08002B2CF9AE}" pid="16" name="Program">
    <vt:lpwstr>2;#Laboratory science leadership and services|374f136d-90b0-4bc2-af38-50de5dc5d5ad</vt:lpwstr>
  </property>
  <property fmtid="{D5CDD505-2E9C-101B-9397-08002B2CF9AE}" pid="17" name="Document-Status">
    <vt:lpwstr>1;#Active|b3c4d83a-10bd-4776-b251-f379e1cb284c</vt:lpwstr>
  </property>
  <property fmtid="{D5CDD505-2E9C-101B-9397-08002B2CF9AE}" pid="18" name="Document_x002d_Status">
    <vt:lpwstr>1;#Active|b3c4d83a-10bd-4776-b251-f379e1cb284c</vt:lpwstr>
  </property>
  <property fmtid="{D5CDD505-2E9C-101B-9397-08002B2CF9AE}" pid="19" name="Security_x0020_Level">
    <vt:lpwstr/>
  </property>
  <property fmtid="{D5CDD505-2E9C-101B-9397-08002B2CF9AE}" pid="20" name="Security Level">
    <vt:lpwstr/>
  </property>
  <property fmtid="{D5CDD505-2E9C-101B-9397-08002B2CF9AE}" pid="21" name="lcf76f155ced4ddcb4097134ff3c332f">
    <vt:lpwstr/>
  </property>
  <property fmtid="{D5CDD505-2E9C-101B-9397-08002B2CF9AE}" pid="22" name="Fiscal Year">
    <vt:lpwstr/>
  </property>
</Properties>
</file>