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ocuments/Alex Work/Projects/Current Projects/MFLP-52 Update/Validation Package/Supporting Documents/"/>
    </mc:Choice>
  </mc:AlternateContent>
  <xr:revisionPtr revIDLastSave="1217" documentId="8_{3E53E770-2856-4755-80F9-70F7860AD1F5}" xr6:coauthVersionLast="47" xr6:coauthVersionMax="47" xr10:uidLastSave="{58F5A3F5-9B07-4E62-B7F7-69D3D0BD498E}"/>
  <bookViews>
    <workbookView xWindow="2160" yWindow="-14040" windowWidth="21600" windowHeight="11175" xr2:uid="{8AC2813B-114F-46AD-B782-4EF04D18F76D}"/>
  </bookViews>
  <sheets>
    <sheet name="Tab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4" i="1" l="1"/>
  <c r="I519" i="1"/>
  <c r="I518" i="1"/>
  <c r="I517" i="1"/>
  <c r="I516" i="1"/>
  <c r="I515" i="1"/>
  <c r="G512" i="1" l="1"/>
  <c r="G511" i="1"/>
  <c r="G510" i="1"/>
  <c r="H519" i="1"/>
  <c r="H518" i="1"/>
  <c r="H517" i="1"/>
  <c r="H516" i="1"/>
  <c r="H515" i="1"/>
  <c r="H520" i="1" s="1"/>
  <c r="I520" i="1" l="1"/>
</calcChain>
</file>

<file path=xl/sharedStrings.xml><?xml version="1.0" encoding="utf-8"?>
<sst xmlns="http://schemas.openxmlformats.org/spreadsheetml/2006/main" count="3864" uniqueCount="607">
  <si>
    <t>Raw milk cheese, LOW</t>
  </si>
  <si>
    <t>Sample Status</t>
  </si>
  <si>
    <t>Positive Pools</t>
  </si>
  <si>
    <t>Rainbow</t>
  </si>
  <si>
    <t>MAC-T</t>
  </si>
  <si>
    <t>Positive pools</t>
  </si>
  <si>
    <t>Conf. from pool #</t>
  </si>
  <si>
    <t>Comments</t>
  </si>
  <si>
    <t>SGIL</t>
  </si>
  <si>
    <t>Matrix</t>
  </si>
  <si>
    <t>Level</t>
  </si>
  <si>
    <t>Broth screening</t>
  </si>
  <si>
    <t>Isolation</t>
  </si>
  <si>
    <t>2023-04025</t>
  </si>
  <si>
    <t>Alfred le Fermier</t>
  </si>
  <si>
    <t>Negative</t>
  </si>
  <si>
    <t>TN</t>
  </si>
  <si>
    <t>1-2</t>
  </si>
  <si>
    <t>Few colonies on Rainbow, 0 on MAC-T</t>
  </si>
  <si>
    <t>2023-04026</t>
  </si>
  <si>
    <t>2023-04027</t>
  </si>
  <si>
    <t>1-2-3-4-5-6</t>
  </si>
  <si>
    <t>No colony on MAC-T</t>
  </si>
  <si>
    <t>2023-04028</t>
  </si>
  <si>
    <t>Brie de Meaux</t>
  </si>
  <si>
    <t>2023-04029</t>
  </si>
  <si>
    <t>2023-04030</t>
  </si>
  <si>
    <t>5.2 CFU/25 g</t>
  </si>
  <si>
    <t>TP</t>
  </si>
  <si>
    <t>1</t>
  </si>
  <si>
    <t>2</t>
  </si>
  <si>
    <t>2023-04031</t>
  </si>
  <si>
    <t>2023-04032</t>
  </si>
  <si>
    <t>2023-04033</t>
  </si>
  <si>
    <t>2023-04034</t>
  </si>
  <si>
    <t>2023-04035</t>
  </si>
  <si>
    <t>2023-04036</t>
  </si>
  <si>
    <t>2023-04037</t>
  </si>
  <si>
    <t>2023-04038</t>
  </si>
  <si>
    <t>2023-04039</t>
  </si>
  <si>
    <t>2023-04040</t>
  </si>
  <si>
    <t>1 colony on MAC-T</t>
  </si>
  <si>
    <t>2023-04041</t>
  </si>
  <si>
    <t>1-2-3</t>
  </si>
  <si>
    <t>4-5-6</t>
  </si>
  <si>
    <t>No colony on MAC-T -4,-5, -6. Isolated from MAC-T -1</t>
  </si>
  <si>
    <t>2023-04042</t>
  </si>
  <si>
    <t>2023-04043</t>
  </si>
  <si>
    <t>2023-04044</t>
  </si>
  <si>
    <t>2023-04045</t>
  </si>
  <si>
    <t>2023-04046</t>
  </si>
  <si>
    <t>2023-04047</t>
  </si>
  <si>
    <t>2023-04048</t>
  </si>
  <si>
    <t>2023-04049</t>
  </si>
  <si>
    <t>Raw milk cheese, HIGH</t>
  </si>
  <si>
    <t>2024-0118</t>
  </si>
  <si>
    <t>4-6</t>
  </si>
  <si>
    <t>2024-0119</t>
  </si>
  <si>
    <t>1-2-5-6</t>
  </si>
  <si>
    <t>3-4</t>
  </si>
  <si>
    <t>2024-0120</t>
  </si>
  <si>
    <t>3</t>
  </si>
  <si>
    <t>2024-0121</t>
  </si>
  <si>
    <t>2024-0122</t>
  </si>
  <si>
    <t>2024-0123</t>
  </si>
  <si>
    <t>9.0 CFU/25 g</t>
  </si>
  <si>
    <t>2024-0124</t>
  </si>
  <si>
    <t>2024-0125</t>
  </si>
  <si>
    <t>2024-0126</t>
  </si>
  <si>
    <t>2024-0127</t>
  </si>
  <si>
    <t>2024-0128</t>
  </si>
  <si>
    <t>2024-0129</t>
  </si>
  <si>
    <t>2024-0130</t>
  </si>
  <si>
    <t>-4/-5</t>
  </si>
  <si>
    <t>2024-0131</t>
  </si>
  <si>
    <t>2024-0132</t>
  </si>
  <si>
    <t>2024-0133</t>
  </si>
  <si>
    <t>2-5-6</t>
  </si>
  <si>
    <t>1-2-3-4</t>
  </si>
  <si>
    <t>2024-0134</t>
  </si>
  <si>
    <t>2024-0135</t>
  </si>
  <si>
    <t>2 colonies on MAC-T</t>
  </si>
  <si>
    <t>2024-0136</t>
  </si>
  <si>
    <t>2024-0137</t>
  </si>
  <si>
    <t>2024-0138</t>
  </si>
  <si>
    <t>3-4-5-6</t>
  </si>
  <si>
    <t>2024-0139</t>
  </si>
  <si>
    <t>2024-0140</t>
  </si>
  <si>
    <t>2024-0141</t>
  </si>
  <si>
    <t>2024-0142</t>
  </si>
  <si>
    <t>Meat roasts, LOW</t>
  </si>
  <si>
    <t>2024-00620</t>
  </si>
  <si>
    <t>Beef</t>
  </si>
  <si>
    <t>2024-00621</t>
  </si>
  <si>
    <t>2024-00622</t>
  </si>
  <si>
    <t>2024-00623</t>
  </si>
  <si>
    <t>Pork</t>
  </si>
  <si>
    <t>2024-00624</t>
  </si>
  <si>
    <t>2024-00625</t>
  </si>
  <si>
    <t>0.9 CFU/65 g</t>
  </si>
  <si>
    <t>2024-00626</t>
  </si>
  <si>
    <t>2024-00627</t>
  </si>
  <si>
    <t>2024-00628</t>
  </si>
  <si>
    <t>2024-00629</t>
  </si>
  <si>
    <t>2024-00630</t>
  </si>
  <si>
    <t>2024-00631</t>
  </si>
  <si>
    <t>2024-00632</t>
  </si>
  <si>
    <t>2024-00633</t>
  </si>
  <si>
    <t>1-3-4-5-6</t>
  </si>
  <si>
    <t>2024-00634</t>
  </si>
  <si>
    <t>2024-00635</t>
  </si>
  <si>
    <t>2024-00636</t>
  </si>
  <si>
    <t>2024-00637</t>
  </si>
  <si>
    <t>2024-00638</t>
  </si>
  <si>
    <t>2024-00639</t>
  </si>
  <si>
    <t>2024-00640</t>
  </si>
  <si>
    <t>2024-00641</t>
  </si>
  <si>
    <t>2024-00642</t>
  </si>
  <si>
    <t>2024-00643</t>
  </si>
  <si>
    <t>2024-00644</t>
  </si>
  <si>
    <t>Meat roasts, HIGH</t>
  </si>
  <si>
    <t>2024-00721</t>
  </si>
  <si>
    <t>Few colonies on MAC-T</t>
  </si>
  <si>
    <t>2024-00722</t>
  </si>
  <si>
    <t>2024-00723</t>
  </si>
  <si>
    <t>2024-00724</t>
  </si>
  <si>
    <t>2024-00725</t>
  </si>
  <si>
    <t>2024-00726</t>
  </si>
  <si>
    <t>8.5 CFU/65 g</t>
  </si>
  <si>
    <t>2024-00727</t>
  </si>
  <si>
    <t>2024-00728</t>
  </si>
  <si>
    <t>2024-00729</t>
  </si>
  <si>
    <t>2024-00730</t>
  </si>
  <si>
    <t>2024-00731</t>
  </si>
  <si>
    <t>2024-00732</t>
  </si>
  <si>
    <t>2024-00733</t>
  </si>
  <si>
    <t>2024-00734</t>
  </si>
  <si>
    <t>2024-00735</t>
  </si>
  <si>
    <t>2024-00736</t>
  </si>
  <si>
    <t>2024-00737</t>
  </si>
  <si>
    <t>2024-00738</t>
  </si>
  <si>
    <t>2024-00739</t>
  </si>
  <si>
    <t>2024-00740</t>
  </si>
  <si>
    <t>2024-00741</t>
  </si>
  <si>
    <t>2024-00742</t>
  </si>
  <si>
    <t>2024-00743</t>
  </si>
  <si>
    <t>2024-00744</t>
  </si>
  <si>
    <t>2024-00745</t>
  </si>
  <si>
    <t>Yogurt and kefir, LOW</t>
  </si>
  <si>
    <t>2024-02144</t>
  </si>
  <si>
    <t>Yogurt</t>
  </si>
  <si>
    <t>No colony on Rainbow nor MAC-T</t>
  </si>
  <si>
    <t>2024-02145</t>
  </si>
  <si>
    <t>2024-02146</t>
  </si>
  <si>
    <t>2024-02147</t>
  </si>
  <si>
    <t>Kefir</t>
  </si>
  <si>
    <t>2024-02148</t>
  </si>
  <si>
    <t>2024-02149</t>
  </si>
  <si>
    <t>0.9 CFU/25 g</t>
  </si>
  <si>
    <t>2024-02150</t>
  </si>
  <si>
    <t>2024-02151</t>
  </si>
  <si>
    <t>2024-02152</t>
  </si>
  <si>
    <t>2024-02153</t>
  </si>
  <si>
    <t>2024-02154</t>
  </si>
  <si>
    <t>Very few colonies on Rainbow, 0 on MAC-T</t>
  </si>
  <si>
    <t>2024-02155</t>
  </si>
  <si>
    <t>2024-02156</t>
  </si>
  <si>
    <t>2024-02157</t>
  </si>
  <si>
    <t>5 colonies on Rainbow</t>
  </si>
  <si>
    <t>2024-02158</t>
  </si>
  <si>
    <t>2024-02159</t>
  </si>
  <si>
    <t>2024-02160</t>
  </si>
  <si>
    <t>2024-02161</t>
  </si>
  <si>
    <t>2024-02162</t>
  </si>
  <si>
    <t>2024-02163</t>
  </si>
  <si>
    <t>-5/-6</t>
  </si>
  <si>
    <t>2024-02164</t>
  </si>
  <si>
    <t>2024-02165</t>
  </si>
  <si>
    <t>2024-02166</t>
  </si>
  <si>
    <t>2024-02167</t>
  </si>
  <si>
    <t>2024-02168</t>
  </si>
  <si>
    <t>Yogurt and kefir, HIGH</t>
  </si>
  <si>
    <t>2024-02449</t>
  </si>
  <si>
    <t>2024-02450</t>
  </si>
  <si>
    <t>2024-02451</t>
  </si>
  <si>
    <t>2024-02452</t>
  </si>
  <si>
    <t>2024-02453</t>
  </si>
  <si>
    <t>2024-02454</t>
  </si>
  <si>
    <t>9.9 CFU/25 g</t>
  </si>
  <si>
    <t>2 colonies on Rainbow</t>
  </si>
  <si>
    <t>2024-02455</t>
  </si>
  <si>
    <t>2024-02456</t>
  </si>
  <si>
    <t>Few colonies on Rainbow</t>
  </si>
  <si>
    <t>2024-02457</t>
  </si>
  <si>
    <t>3 colonies on Rainbow</t>
  </si>
  <si>
    <t>2024-02458</t>
  </si>
  <si>
    <t>2024-02459</t>
  </si>
  <si>
    <t>2024-02460</t>
  </si>
  <si>
    <t>2024-02461</t>
  </si>
  <si>
    <t>2024-02462</t>
  </si>
  <si>
    <t>2024-02463</t>
  </si>
  <si>
    <t>2024-02464</t>
  </si>
  <si>
    <t>2024-02465</t>
  </si>
  <si>
    <t>2024-02466</t>
  </si>
  <si>
    <t>2024-02467</t>
  </si>
  <si>
    <t>2024-02468</t>
  </si>
  <si>
    <t>2024-02469</t>
  </si>
  <si>
    <t>2024-02470</t>
  </si>
  <si>
    <t>2024-02471</t>
  </si>
  <si>
    <t>2024-02472</t>
  </si>
  <si>
    <t>2024-02473</t>
  </si>
  <si>
    <t>F&amp;V juices, LOW</t>
  </si>
  <si>
    <t>2024-02759</t>
  </si>
  <si>
    <t>Apple cider</t>
  </si>
  <si>
    <t>2024-02760</t>
  </si>
  <si>
    <t>2024-02761</t>
  </si>
  <si>
    <t>2024-02762</t>
  </si>
  <si>
    <t>Vegetable juice</t>
  </si>
  <si>
    <t>2024-02763</t>
  </si>
  <si>
    <t>2024-02764</t>
  </si>
  <si>
    <t>0.8 CFU/25 g</t>
  </si>
  <si>
    <t>2024-02765</t>
  </si>
  <si>
    <t>2024-02766</t>
  </si>
  <si>
    <t>2024-02767</t>
  </si>
  <si>
    <t>2024-02768</t>
  </si>
  <si>
    <t>2024-02769</t>
  </si>
  <si>
    <t>2024-02770</t>
  </si>
  <si>
    <t>2024-02771</t>
  </si>
  <si>
    <t>2024-02772</t>
  </si>
  <si>
    <t>2024-02773</t>
  </si>
  <si>
    <t>2024-02774</t>
  </si>
  <si>
    <t>2024-02775</t>
  </si>
  <si>
    <t>2024-02776</t>
  </si>
  <si>
    <t>2024-02777</t>
  </si>
  <si>
    <t>2024-02778</t>
  </si>
  <si>
    <t>2024-02779</t>
  </si>
  <si>
    <t>2024-02780</t>
  </si>
  <si>
    <t>2024-02781</t>
  </si>
  <si>
    <t>2024-02782</t>
  </si>
  <si>
    <t>2024-02783</t>
  </si>
  <si>
    <t>F&amp;V juices, HIGH</t>
  </si>
  <si>
    <t>2024-03311</t>
  </si>
  <si>
    <t>2024-03312</t>
  </si>
  <si>
    <t>2024-03313</t>
  </si>
  <si>
    <t>No colonies on Rainbow nor on MAC-T</t>
  </si>
  <si>
    <t>2024-03314</t>
  </si>
  <si>
    <t>2024-03315</t>
  </si>
  <si>
    <t>2024-03316</t>
  </si>
  <si>
    <t>10 CFU/25 g</t>
  </si>
  <si>
    <t>2024-03317</t>
  </si>
  <si>
    <t>2024-03318</t>
  </si>
  <si>
    <t>2024-03319</t>
  </si>
  <si>
    <t>2024-03320</t>
  </si>
  <si>
    <t>2024-03321</t>
  </si>
  <si>
    <t>2024-03322</t>
  </si>
  <si>
    <t>2024-03323</t>
  </si>
  <si>
    <t>2024-03324</t>
  </si>
  <si>
    <t>2024-03325</t>
  </si>
  <si>
    <t>2024-03326</t>
  </si>
  <si>
    <t>2024-03327</t>
  </si>
  <si>
    <t>2024-03328</t>
  </si>
  <si>
    <t>2024-03329</t>
  </si>
  <si>
    <t>2024-03330</t>
  </si>
  <si>
    <t>2024-03331</t>
  </si>
  <si>
    <t>2024-03332</t>
  </si>
  <si>
    <t>2024-03333</t>
  </si>
  <si>
    <t>2024-03334</t>
  </si>
  <si>
    <t>2024-03335</t>
  </si>
  <si>
    <t>Leafy greens, LOW</t>
  </si>
  <si>
    <t>2024-0001</t>
  </si>
  <si>
    <t>Romaine hearts</t>
  </si>
  <si>
    <t>2024-0002</t>
  </si>
  <si>
    <t>2024-0003</t>
  </si>
  <si>
    <t>6</t>
  </si>
  <si>
    <t>2024-0004</t>
  </si>
  <si>
    <t>Baby spinach</t>
  </si>
  <si>
    <t>2024-0005</t>
  </si>
  <si>
    <t>2024-0006</t>
  </si>
  <si>
    <t>0.4 CFU/25 g</t>
  </si>
  <si>
    <t>2024-0007</t>
  </si>
  <si>
    <t>2024-0008</t>
  </si>
  <si>
    <t>2024-0009</t>
  </si>
  <si>
    <t>2024-0010</t>
  </si>
  <si>
    <t>2024-0011</t>
  </si>
  <si>
    <t>2024-0012</t>
  </si>
  <si>
    <t>2024-0013</t>
  </si>
  <si>
    <t>2024-0014</t>
  </si>
  <si>
    <t>1 colony n MAC-T</t>
  </si>
  <si>
    <t>2024-0015</t>
  </si>
  <si>
    <t>2024-0016</t>
  </si>
  <si>
    <t>2024-0017</t>
  </si>
  <si>
    <t>2024-0018</t>
  </si>
  <si>
    <t>2024-0019</t>
  </si>
  <si>
    <t>2024-0020</t>
  </si>
  <si>
    <t>2024-0021</t>
  </si>
  <si>
    <t>1-2-4-5-6</t>
  </si>
  <si>
    <t>2024-0022</t>
  </si>
  <si>
    <t>2024-0023</t>
  </si>
  <si>
    <t>2024-0024</t>
  </si>
  <si>
    <t>2024-0025</t>
  </si>
  <si>
    <t>Leafy greens, HIGH</t>
  </si>
  <si>
    <t>2023-03932</t>
  </si>
  <si>
    <t>2023-03933</t>
  </si>
  <si>
    <t>2023-03934</t>
  </si>
  <si>
    <t>2-3-4-5-6</t>
  </si>
  <si>
    <t>2023-03935</t>
  </si>
  <si>
    <t>1-2-3-5-6</t>
  </si>
  <si>
    <t>4</t>
  </si>
  <si>
    <t>2023-03936</t>
  </si>
  <si>
    <t>1-3-5</t>
  </si>
  <si>
    <t>2-4-6</t>
  </si>
  <si>
    <t>2023-03937</t>
  </si>
  <si>
    <t>4.5 CFU/25 g</t>
  </si>
  <si>
    <t>2023-03938</t>
  </si>
  <si>
    <t>2023-03939</t>
  </si>
  <si>
    <t>2023-03940</t>
  </si>
  <si>
    <t>2023-03941</t>
  </si>
  <si>
    <t>2023-03942</t>
  </si>
  <si>
    <t>2023-03943</t>
  </si>
  <si>
    <t>2023-03944</t>
  </si>
  <si>
    <t>2023-03945</t>
  </si>
  <si>
    <t>2023-03946</t>
  </si>
  <si>
    <t>2023-03947</t>
  </si>
  <si>
    <t>2023-03948</t>
  </si>
  <si>
    <t>2023-03949</t>
  </si>
  <si>
    <t>2023-03950</t>
  </si>
  <si>
    <t>2023-03951</t>
  </si>
  <si>
    <t>2023-03952</t>
  </si>
  <si>
    <t>2023-03953</t>
  </si>
  <si>
    <t>2023-03954</t>
  </si>
  <si>
    <t>NA</t>
  </si>
  <si>
    <t>Origin of pools #3 to #6 not noted :-(</t>
  </si>
  <si>
    <t>2023-03955</t>
  </si>
  <si>
    <t>2023-03956</t>
  </si>
  <si>
    <t>Fresh ground meat, LOW</t>
  </si>
  <si>
    <t>2023-04412</t>
  </si>
  <si>
    <t>Ground beef</t>
  </si>
  <si>
    <t>2023-04413</t>
  </si>
  <si>
    <t>2023-04414</t>
  </si>
  <si>
    <t>2023-04415</t>
  </si>
  <si>
    <t>Ground pork</t>
  </si>
  <si>
    <t>2023-04416</t>
  </si>
  <si>
    <t>2023-04417</t>
  </si>
  <si>
    <t>1.4 CFU/65 g</t>
  </si>
  <si>
    <t>2023-04418</t>
  </si>
  <si>
    <t>2023-04419</t>
  </si>
  <si>
    <t>2023-04420</t>
  </si>
  <si>
    <t>2023-04421</t>
  </si>
  <si>
    <t>2023-04422</t>
  </si>
  <si>
    <t>2023-04423</t>
  </si>
  <si>
    <t>FN</t>
  </si>
  <si>
    <t>2-3</t>
  </si>
  <si>
    <t>2023-04424</t>
  </si>
  <si>
    <t>2023-04425</t>
  </si>
  <si>
    <t>2023-04426</t>
  </si>
  <si>
    <t>1-4-5-6</t>
  </si>
  <si>
    <t>2023-04427</t>
  </si>
  <si>
    <t>2023-04428</t>
  </si>
  <si>
    <t>2023-04429</t>
  </si>
  <si>
    <t>Few colonies on MAC-T -4. Isolated from MAC-T -1</t>
  </si>
  <si>
    <t>2023-04430</t>
  </si>
  <si>
    <t>2023-04431</t>
  </si>
  <si>
    <t>2023-04432</t>
  </si>
  <si>
    <t>2023-04433</t>
  </si>
  <si>
    <t>2023-04434</t>
  </si>
  <si>
    <t>2023-04435</t>
  </si>
  <si>
    <t>2023-04436</t>
  </si>
  <si>
    <t>Fresh ground meat, HIGH</t>
  </si>
  <si>
    <t>2024-0395</t>
  </si>
  <si>
    <t>2024-0396</t>
  </si>
  <si>
    <t>5 colonies on MAC-T</t>
  </si>
  <si>
    <t>2024-0397</t>
  </si>
  <si>
    <t>2024-0398</t>
  </si>
  <si>
    <t>2024-0399</t>
  </si>
  <si>
    <t>3 colonies on MAC-T</t>
  </si>
  <si>
    <t>2024-0400</t>
  </si>
  <si>
    <t>14 CFU/65 g</t>
  </si>
  <si>
    <t>2024-0401</t>
  </si>
  <si>
    <t>2024-0402</t>
  </si>
  <si>
    <t>2024-0403</t>
  </si>
  <si>
    <t>2024-0404</t>
  </si>
  <si>
    <t>2024-0405</t>
  </si>
  <si>
    <t>2024-0406</t>
  </si>
  <si>
    <t>2024-0407</t>
  </si>
  <si>
    <t>2024-0408</t>
  </si>
  <si>
    <t>6 colonies on MAC-T</t>
  </si>
  <si>
    <t>2024-0409</t>
  </si>
  <si>
    <t>2024-0410</t>
  </si>
  <si>
    <t>7 colonies on MAC-T</t>
  </si>
  <si>
    <t>2024-0411</t>
  </si>
  <si>
    <t>10 colonies on MAC-T</t>
  </si>
  <si>
    <t>2024-0412</t>
  </si>
  <si>
    <t>2024-0413</t>
  </si>
  <si>
    <t>2024-0414</t>
  </si>
  <si>
    <t>2024-0415</t>
  </si>
  <si>
    <t>2024-0416</t>
  </si>
  <si>
    <t>2024-0417</t>
  </si>
  <si>
    <t>Origin of pools #3 to #6 not noted. Isolated from MAC-T -1</t>
  </si>
  <si>
    <t>2024-0418</t>
  </si>
  <si>
    <t>4 colonies on MAC-T</t>
  </si>
  <si>
    <t>2024-0419</t>
  </si>
  <si>
    <t>Milk and cheese curds, LOW</t>
  </si>
  <si>
    <t>2024-03729</t>
  </si>
  <si>
    <t>2% milk</t>
  </si>
  <si>
    <t>No colony on Rainbow nor on MAC-T</t>
  </si>
  <si>
    <t>2024-03730</t>
  </si>
  <si>
    <t>2024-03731</t>
  </si>
  <si>
    <t>2024-03732</t>
  </si>
  <si>
    <t>Cheese curds</t>
  </si>
  <si>
    <t>2-4-5</t>
  </si>
  <si>
    <t>2024-03733</t>
  </si>
  <si>
    <t>2024-03734</t>
  </si>
  <si>
    <t>2024-03735</t>
  </si>
  <si>
    <t>2024-03736</t>
  </si>
  <si>
    <t>2024-03737</t>
  </si>
  <si>
    <t>2024-03738</t>
  </si>
  <si>
    <t>2024-03739</t>
  </si>
  <si>
    <t>2024-03740</t>
  </si>
  <si>
    <t>2024-03741</t>
  </si>
  <si>
    <t>2024-03742</t>
  </si>
  <si>
    <t>2024-03743</t>
  </si>
  <si>
    <t>2024-03744</t>
  </si>
  <si>
    <t>5-6</t>
  </si>
  <si>
    <t>2024-03745</t>
  </si>
  <si>
    <t>1-2-3-4-5</t>
  </si>
  <si>
    <t>2024-03746</t>
  </si>
  <si>
    <t>2024-03747</t>
  </si>
  <si>
    <t>2024-03748</t>
  </si>
  <si>
    <t>2024-03749</t>
  </si>
  <si>
    <t>1-2-3-4-6</t>
  </si>
  <si>
    <t>5</t>
  </si>
  <si>
    <t>2024-03750</t>
  </si>
  <si>
    <t>1-2-6</t>
  </si>
  <si>
    <t>2024-03751</t>
  </si>
  <si>
    <t>2024-03752</t>
  </si>
  <si>
    <t>2024-03753</t>
  </si>
  <si>
    <t>Milk and cheese curds, HIGH</t>
  </si>
  <si>
    <t>2024-04041</t>
  </si>
  <si>
    <t>2024-04042</t>
  </si>
  <si>
    <t>2024-04043</t>
  </si>
  <si>
    <t>2024-04044</t>
  </si>
  <si>
    <t>2024-04045</t>
  </si>
  <si>
    <t>2024-04046</t>
  </si>
  <si>
    <t>8.4 CFU/25 g</t>
  </si>
  <si>
    <t>2024-04047</t>
  </si>
  <si>
    <t>2024-04048</t>
  </si>
  <si>
    <t>2024-04049</t>
  </si>
  <si>
    <t>2024-04050</t>
  </si>
  <si>
    <t>2024-04051</t>
  </si>
  <si>
    <t>2024-04052</t>
  </si>
  <si>
    <t>2024-04053</t>
  </si>
  <si>
    <t>2024-04054</t>
  </si>
  <si>
    <t>2024-04055</t>
  </si>
  <si>
    <t>2024-04056</t>
  </si>
  <si>
    <t>2024-04057</t>
  </si>
  <si>
    <t>2024-04058</t>
  </si>
  <si>
    <t>2024-04059</t>
  </si>
  <si>
    <t>1-3-6</t>
  </si>
  <si>
    <t>3-6</t>
  </si>
  <si>
    <t>2024-04060</t>
  </si>
  <si>
    <t>2024-04061</t>
  </si>
  <si>
    <t>2024-04062</t>
  </si>
  <si>
    <t>2024-04063</t>
  </si>
  <si>
    <t>2024-04064</t>
  </si>
  <si>
    <t>2024-04065</t>
  </si>
  <si>
    <t>Walnuts and peanut butter, LOW</t>
  </si>
  <si>
    <t>2024-04193</t>
  </si>
  <si>
    <t>Peanut butter</t>
  </si>
  <si>
    <t>2024-04194</t>
  </si>
  <si>
    <t>1 colony on Rainbow</t>
  </si>
  <si>
    <t>2024-04195</t>
  </si>
  <si>
    <t>2024-04196</t>
  </si>
  <si>
    <t>Walnuts</t>
  </si>
  <si>
    <t>2024-04197</t>
  </si>
  <si>
    <t>2024-04198</t>
  </si>
  <si>
    <t>35 CFU/25 g</t>
  </si>
  <si>
    <t>2024-04199</t>
  </si>
  <si>
    <t>2024-04200</t>
  </si>
  <si>
    <t>2024-04201</t>
  </si>
  <si>
    <t>2024-04202</t>
  </si>
  <si>
    <t>2024-04203</t>
  </si>
  <si>
    <t>2024-04204</t>
  </si>
  <si>
    <t>5 colonies on Rainbow, 0 on MAC-T</t>
  </si>
  <si>
    <t>2024-04205</t>
  </si>
  <si>
    <t>2024-04206</t>
  </si>
  <si>
    <t>2024-04207</t>
  </si>
  <si>
    <t>2024-04208</t>
  </si>
  <si>
    <t>2024-04209</t>
  </si>
  <si>
    <t>2024-04210</t>
  </si>
  <si>
    <t>2024-04211</t>
  </si>
  <si>
    <t>1 colony on Rainbow, 0 on MAC-T</t>
  </si>
  <si>
    <t>2024-04212</t>
  </si>
  <si>
    <t>2024-04213</t>
  </si>
  <si>
    <t>2024-04214</t>
  </si>
  <si>
    <t>2 colonies on Rainbow, 0 on MAC-T</t>
  </si>
  <si>
    <t>2024-04215</t>
  </si>
  <si>
    <t>13 colonies on Rainbow, 0 on MAC-T</t>
  </si>
  <si>
    <t>2024-04216</t>
  </si>
  <si>
    <t>15 colonies on Rainbow, 0 on MAC-T</t>
  </si>
  <si>
    <t>2024-04217</t>
  </si>
  <si>
    <t>Less than 40 colonies on Rainbow (4 pools), 0 on MAC-T</t>
  </si>
  <si>
    <t>Walnuts and peanut butter, HIGH</t>
  </si>
  <si>
    <t>Broth screening *</t>
  </si>
  <si>
    <t>2024-03682</t>
  </si>
  <si>
    <t>2024-03683</t>
  </si>
  <si>
    <t>2024-03684</t>
  </si>
  <si>
    <t>2024-03685</t>
  </si>
  <si>
    <t>2024-03686</t>
  </si>
  <si>
    <t>2024-03687</t>
  </si>
  <si>
    <t>57 CFU/25 g</t>
  </si>
  <si>
    <t>2024-03688</t>
  </si>
  <si>
    <t>2024-03689</t>
  </si>
  <si>
    <t>2024-03690</t>
  </si>
  <si>
    <t>2024-03691</t>
  </si>
  <si>
    <t>2024-03692</t>
  </si>
  <si>
    <t>2024-03693</t>
  </si>
  <si>
    <t>2024-03694</t>
  </si>
  <si>
    <t>2024-03695</t>
  </si>
  <si>
    <t>2024-03696</t>
  </si>
  <si>
    <t>2024-03697</t>
  </si>
  <si>
    <t>2024-03698</t>
  </si>
  <si>
    <t>2024-03699</t>
  </si>
  <si>
    <t>2024-03700</t>
  </si>
  <si>
    <t>2024-03701</t>
  </si>
  <si>
    <t>2024-03702</t>
  </si>
  <si>
    <t>2024-03703</t>
  </si>
  <si>
    <t>2024-03704</t>
  </si>
  <si>
    <t>2024-03705</t>
  </si>
  <si>
    <t>2024-03706</t>
  </si>
  <si>
    <t>Frozen meat, LOW</t>
  </si>
  <si>
    <t>2025-0009</t>
  </si>
  <si>
    <t>Frozen beef burgers</t>
  </si>
  <si>
    <t>Neg</t>
  </si>
  <si>
    <t>1-4</t>
  </si>
  <si>
    <t>2025-0010</t>
  </si>
  <si>
    <t>1-5</t>
  </si>
  <si>
    <t>2025-0011</t>
  </si>
  <si>
    <t>Frozen pork burgers</t>
  </si>
  <si>
    <t>2025-0012</t>
  </si>
  <si>
    <t>1-6</t>
  </si>
  <si>
    <t>2-5</t>
  </si>
  <si>
    <t>2025-0013</t>
  </si>
  <si>
    <t>2025-0014</t>
  </si>
  <si>
    <t>0.8 CFU/g</t>
  </si>
  <si>
    <t>2025-0015</t>
  </si>
  <si>
    <t>2025-0016</t>
  </si>
  <si>
    <t>2025-0017</t>
  </si>
  <si>
    <t>2025-0018</t>
  </si>
  <si>
    <t>2025-0019</t>
  </si>
  <si>
    <t>2025-0020</t>
  </si>
  <si>
    <t>2025-0021</t>
  </si>
  <si>
    <t>2025-0022</t>
  </si>
  <si>
    <t>1-3-4-5</t>
  </si>
  <si>
    <t>2-6</t>
  </si>
  <si>
    <t>2025-0023</t>
  </si>
  <si>
    <t>2025-0024</t>
  </si>
  <si>
    <t>2025-0025</t>
  </si>
  <si>
    <t>2025-0026</t>
  </si>
  <si>
    <t>2025-0027</t>
  </si>
  <si>
    <t>2025-0028</t>
  </si>
  <si>
    <t>1-5-6</t>
  </si>
  <si>
    <t>2-3-4</t>
  </si>
  <si>
    <t>2025-0029</t>
  </si>
  <si>
    <t>2025-0030</t>
  </si>
  <si>
    <t>2025-0031</t>
  </si>
  <si>
    <t>2025-0032</t>
  </si>
  <si>
    <t>2025-0033</t>
  </si>
  <si>
    <t>Frozen meat, HIGH</t>
  </si>
  <si>
    <t>2025-0064</t>
  </si>
  <si>
    <t>Frozen minced beef</t>
  </si>
  <si>
    <t>2025-0065</t>
  </si>
  <si>
    <t>2025-0066</t>
  </si>
  <si>
    <t>1-3-4</t>
  </si>
  <si>
    <t>2025-0067</t>
  </si>
  <si>
    <t>2025-0068</t>
  </si>
  <si>
    <t>1-2-4</t>
  </si>
  <si>
    <t>2025-0069</t>
  </si>
  <si>
    <t>9.3 CFU/g</t>
  </si>
  <si>
    <t>2025-0070</t>
  </si>
  <si>
    <t>2025-0071</t>
  </si>
  <si>
    <t>2025-0072</t>
  </si>
  <si>
    <t>2025-0073</t>
  </si>
  <si>
    <t>2025-0074</t>
  </si>
  <si>
    <t>2025-0075</t>
  </si>
  <si>
    <t>2025-0076</t>
  </si>
  <si>
    <t>2025-0077</t>
  </si>
  <si>
    <t>2025-0078</t>
  </si>
  <si>
    <t>2025-0079</t>
  </si>
  <si>
    <t>2025-0080</t>
  </si>
  <si>
    <t>2025-0081</t>
  </si>
  <si>
    <t>2025-0082</t>
  </si>
  <si>
    <t>2025-0083</t>
  </si>
  <si>
    <t>2025-0084</t>
  </si>
  <si>
    <t>2025-0085</t>
  </si>
  <si>
    <t>2025-0086</t>
  </si>
  <si>
    <t>2025-0087</t>
  </si>
  <si>
    <t>2025-0088</t>
  </si>
  <si>
    <t>SUM</t>
  </si>
  <si>
    <t>Rainbow agar</t>
  </si>
  <si>
    <t>MAC-T agar</t>
  </si>
  <si>
    <t>TP with Data</t>
  </si>
  <si>
    <t>Positive pools dilution -1</t>
  </si>
  <si>
    <t>Positive pools dilution -4</t>
  </si>
  <si>
    <t>Positive pools dilution -5</t>
  </si>
  <si>
    <t>Positive pools dilution -6</t>
  </si>
  <si>
    <t>Positive pools dilutions -4/-5</t>
  </si>
  <si>
    <t>Positive pools dilutions -5/-6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</si>
</sst>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"/>
      <family val="2"/>
    </font>
    <font>
      <sz val="11"/>
      <color rgb="FFFF0000"/>
      <name val="Aptos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name val="Aptos"/>
      <family val="2"/>
    </font>
    <font>
      <b/>
      <sz val="11"/>
      <name val="Aptos Narrow"/>
      <family val="2"/>
      <scheme val="minor"/>
    </font>
    <font>
      <b/>
      <sz val="11"/>
      <name val="Aptos"/>
      <family val="2"/>
    </font>
    <font>
      <b/>
      <sz val="11"/>
      <name val="Calibri"/>
      <family val="2"/>
    </font>
    <font>
      <sz val="12"/>
      <name val="Aptos"/>
      <family val="2"/>
    </font>
    <font>
      <b/>
      <sz val="12"/>
      <name val="Aptos Narrow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Aptos"/>
      <family val="2"/>
    </font>
    <font>
      <sz val="8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5" fillId="0" borderId="2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inden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 inden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indent="1"/>
    </xf>
    <xf numFmtId="0" fontId="6" fillId="0" borderId="27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 indent="1"/>
    </xf>
    <xf numFmtId="0" fontId="6" fillId="0" borderId="45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5" fillId="0" borderId="41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42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50" xfId="0" applyFont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3" borderId="20" xfId="0" applyFont="1" applyFill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5" fillId="0" borderId="4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8" fillId="0" borderId="51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left" vertical="center" indent="1"/>
    </xf>
    <xf numFmtId="0" fontId="5" fillId="4" borderId="1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left" vertical="center" indent="1"/>
    </xf>
    <xf numFmtId="0" fontId="5" fillId="5" borderId="1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22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 wrapText="1"/>
    </xf>
    <xf numFmtId="49" fontId="8" fillId="0" borderId="28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1"/>
      </font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A02E-BB46-4B5A-817C-B50F7ABFEEC8}">
  <dimension ref="B2:S522"/>
  <sheetViews>
    <sheetView tabSelected="1" topLeftCell="A505" zoomScale="70" zoomScaleNormal="70" workbookViewId="0">
      <selection activeCell="D527" sqref="D527:D528"/>
    </sheetView>
  </sheetViews>
  <sheetFormatPr defaultColWidth="11" defaultRowHeight="15.95"/>
  <cols>
    <col min="1" max="1" width="11" style="12"/>
    <col min="2" max="2" width="11" style="13"/>
    <col min="3" max="3" width="13.375" style="12" customWidth="1"/>
    <col min="4" max="4" width="17.375" style="12" customWidth="1"/>
    <col min="5" max="5" width="13.125" style="12" customWidth="1"/>
    <col min="6" max="9" width="15.125" style="14" customWidth="1"/>
    <col min="10" max="10" width="11" style="12" customWidth="1"/>
    <col min="11" max="18" width="11.625" style="118" customWidth="1"/>
    <col min="19" max="19" width="49.125" style="15" customWidth="1"/>
    <col min="20" max="16384" width="11" style="12"/>
  </cols>
  <sheetData>
    <row r="2" spans="2:19">
      <c r="D2" s="115"/>
      <c r="E2" s="116"/>
      <c r="F2" s="238"/>
    </row>
    <row r="4" spans="2:19" ht="16.5" thickBot="1"/>
    <row r="5" spans="2:19" ht="16.5" thickBot="1">
      <c r="B5" s="16" t="s">
        <v>0</v>
      </c>
      <c r="D5" s="17"/>
      <c r="E5" s="17"/>
      <c r="F5" s="276" t="s">
        <v>1</v>
      </c>
      <c r="G5" s="277"/>
      <c r="H5" s="282" t="s">
        <v>2</v>
      </c>
      <c r="I5" s="283"/>
      <c r="K5" s="262" t="s">
        <v>3</v>
      </c>
      <c r="L5" s="263"/>
      <c r="M5" s="264"/>
      <c r="N5" s="262" t="s">
        <v>4</v>
      </c>
      <c r="O5" s="263"/>
      <c r="P5" s="265"/>
      <c r="Q5" s="268" t="s">
        <v>5</v>
      </c>
      <c r="R5" s="272" t="s">
        <v>6</v>
      </c>
      <c r="S5" s="274" t="s">
        <v>7</v>
      </c>
    </row>
    <row r="6" spans="2:19" ht="16.5" thickBot="1">
      <c r="C6" s="161" t="s">
        <v>8</v>
      </c>
      <c r="D6" s="176" t="s">
        <v>9</v>
      </c>
      <c r="E6" s="177" t="s">
        <v>10</v>
      </c>
      <c r="F6" s="239" t="s">
        <v>11</v>
      </c>
      <c r="G6" s="178" t="s">
        <v>12</v>
      </c>
      <c r="H6" s="163" t="s">
        <v>3</v>
      </c>
      <c r="I6" s="164" t="s">
        <v>4</v>
      </c>
      <c r="K6" s="20">
        <v>-4</v>
      </c>
      <c r="L6" s="21">
        <v>-5</v>
      </c>
      <c r="M6" s="22">
        <v>-6</v>
      </c>
      <c r="N6" s="20">
        <v>-4</v>
      </c>
      <c r="O6" s="21">
        <v>-5</v>
      </c>
      <c r="P6" s="23">
        <v>-6</v>
      </c>
      <c r="Q6" s="269"/>
      <c r="R6" s="273"/>
      <c r="S6" s="275"/>
    </row>
    <row r="7" spans="2:19">
      <c r="C7" s="24" t="s">
        <v>13</v>
      </c>
      <c r="D7" s="25" t="s">
        <v>14</v>
      </c>
      <c r="E7" s="26" t="s">
        <v>15</v>
      </c>
      <c r="F7" s="234" t="s">
        <v>16</v>
      </c>
      <c r="G7" s="152" t="s">
        <v>16</v>
      </c>
      <c r="H7" s="154">
        <v>0</v>
      </c>
      <c r="I7" s="155">
        <v>0</v>
      </c>
      <c r="K7" s="132" t="s">
        <v>17</v>
      </c>
      <c r="L7" s="133"/>
      <c r="M7" s="134"/>
      <c r="N7" s="132"/>
      <c r="O7" s="133"/>
      <c r="P7" s="135"/>
      <c r="Q7" s="132"/>
      <c r="R7" s="134"/>
      <c r="S7" s="31" t="s">
        <v>18</v>
      </c>
    </row>
    <row r="8" spans="2:19">
      <c r="C8" s="32" t="s">
        <v>19</v>
      </c>
      <c r="D8" s="33" t="s">
        <v>14</v>
      </c>
      <c r="E8" s="34" t="s">
        <v>15</v>
      </c>
      <c r="F8" s="233" t="s">
        <v>16</v>
      </c>
      <c r="G8" s="128" t="s">
        <v>16</v>
      </c>
      <c r="H8" s="156">
        <v>0</v>
      </c>
      <c r="I8" s="122">
        <v>0</v>
      </c>
      <c r="K8" s="136" t="s">
        <v>17</v>
      </c>
      <c r="L8" s="119"/>
      <c r="M8" s="137"/>
      <c r="N8" s="136"/>
      <c r="O8" s="119"/>
      <c r="P8" s="138"/>
      <c r="Q8" s="136"/>
      <c r="R8" s="137"/>
      <c r="S8" s="38" t="s">
        <v>18</v>
      </c>
    </row>
    <row r="9" spans="2:19">
      <c r="C9" s="32" t="s">
        <v>20</v>
      </c>
      <c r="D9" s="33" t="s">
        <v>14</v>
      </c>
      <c r="E9" s="34" t="s">
        <v>15</v>
      </c>
      <c r="F9" s="233" t="s">
        <v>16</v>
      </c>
      <c r="G9" s="128" t="s">
        <v>16</v>
      </c>
      <c r="H9" s="156">
        <v>0</v>
      </c>
      <c r="I9" s="122">
        <v>0</v>
      </c>
      <c r="K9" s="136"/>
      <c r="L9" s="119"/>
      <c r="M9" s="137" t="s">
        <v>21</v>
      </c>
      <c r="N9" s="136"/>
      <c r="O9" s="119"/>
      <c r="P9" s="138"/>
      <c r="Q9" s="136"/>
      <c r="R9" s="137"/>
      <c r="S9" s="38" t="s">
        <v>22</v>
      </c>
    </row>
    <row r="10" spans="2:19">
      <c r="C10" s="32" t="s">
        <v>23</v>
      </c>
      <c r="D10" s="33" t="s">
        <v>24</v>
      </c>
      <c r="E10" s="34" t="s">
        <v>15</v>
      </c>
      <c r="F10" s="233" t="s">
        <v>16</v>
      </c>
      <c r="G10" s="128" t="s">
        <v>16</v>
      </c>
      <c r="H10" s="156">
        <v>0</v>
      </c>
      <c r="I10" s="122">
        <v>0</v>
      </c>
      <c r="K10" s="136"/>
      <c r="L10" s="119" t="s">
        <v>21</v>
      </c>
      <c r="M10" s="137"/>
      <c r="N10" s="136"/>
      <c r="O10" s="119"/>
      <c r="P10" s="138"/>
      <c r="Q10" s="136"/>
      <c r="R10" s="137"/>
      <c r="S10" s="38" t="s">
        <v>22</v>
      </c>
    </row>
    <row r="11" spans="2:19" ht="16.5" thickBot="1">
      <c r="C11" s="39" t="s">
        <v>25</v>
      </c>
      <c r="D11" s="40" t="s">
        <v>24</v>
      </c>
      <c r="E11" s="41" t="s">
        <v>15</v>
      </c>
      <c r="F11" s="235" t="s">
        <v>16</v>
      </c>
      <c r="G11" s="153" t="s">
        <v>16</v>
      </c>
      <c r="H11" s="157">
        <v>0</v>
      </c>
      <c r="I11" s="123">
        <v>0</v>
      </c>
      <c r="K11" s="139"/>
      <c r="L11" s="140" t="s">
        <v>21</v>
      </c>
      <c r="M11" s="141"/>
      <c r="N11" s="139"/>
      <c r="O11" s="140"/>
      <c r="P11" s="142"/>
      <c r="Q11" s="143"/>
      <c r="R11" s="144"/>
      <c r="S11" s="46" t="s">
        <v>22</v>
      </c>
    </row>
    <row r="12" spans="2:19">
      <c r="C12" s="24" t="s">
        <v>26</v>
      </c>
      <c r="D12" s="25" t="s">
        <v>14</v>
      </c>
      <c r="E12" s="26" t="s">
        <v>27</v>
      </c>
      <c r="F12" s="234" t="s">
        <v>28</v>
      </c>
      <c r="G12" s="30" t="s">
        <v>28</v>
      </c>
      <c r="H12" s="51">
        <v>0</v>
      </c>
      <c r="I12" s="55">
        <v>-4</v>
      </c>
      <c r="K12" s="132"/>
      <c r="L12" s="133" t="s">
        <v>29</v>
      </c>
      <c r="M12" s="134"/>
      <c r="N12" s="132" t="s">
        <v>30</v>
      </c>
      <c r="O12" s="133"/>
      <c r="P12" s="135"/>
      <c r="Q12" s="132" t="s">
        <v>30</v>
      </c>
      <c r="R12" s="134" t="s">
        <v>30</v>
      </c>
      <c r="S12" s="31"/>
    </row>
    <row r="13" spans="2:19">
      <c r="C13" s="32" t="s">
        <v>31</v>
      </c>
      <c r="D13" s="33" t="s">
        <v>14</v>
      </c>
      <c r="E13" s="34" t="s">
        <v>27</v>
      </c>
      <c r="F13" s="233" t="s">
        <v>28</v>
      </c>
      <c r="G13" s="37" t="s">
        <v>28</v>
      </c>
      <c r="H13" s="56">
        <v>-6</v>
      </c>
      <c r="I13" s="59">
        <v>-4</v>
      </c>
      <c r="K13" s="136"/>
      <c r="L13" s="119"/>
      <c r="M13" s="137" t="s">
        <v>29</v>
      </c>
      <c r="N13" s="136" t="s">
        <v>30</v>
      </c>
      <c r="O13" s="119"/>
      <c r="P13" s="138"/>
      <c r="Q13" s="136" t="s">
        <v>17</v>
      </c>
      <c r="R13" s="137" t="s">
        <v>29</v>
      </c>
      <c r="S13" s="38"/>
    </row>
    <row r="14" spans="2:19">
      <c r="C14" s="32" t="s">
        <v>32</v>
      </c>
      <c r="D14" s="33" t="s">
        <v>14</v>
      </c>
      <c r="E14" s="34" t="s">
        <v>27</v>
      </c>
      <c r="F14" s="233" t="s">
        <v>28</v>
      </c>
      <c r="G14" s="37" t="s">
        <v>28</v>
      </c>
      <c r="H14" s="56">
        <v>-6</v>
      </c>
      <c r="I14" s="59">
        <v>-4</v>
      </c>
      <c r="K14" s="136"/>
      <c r="L14" s="119"/>
      <c r="M14" s="137" t="s">
        <v>29</v>
      </c>
      <c r="N14" s="136" t="s">
        <v>30</v>
      </c>
      <c r="O14" s="119"/>
      <c r="P14" s="138"/>
      <c r="Q14" s="136" t="s">
        <v>17</v>
      </c>
      <c r="R14" s="137" t="s">
        <v>29</v>
      </c>
      <c r="S14" s="38"/>
    </row>
    <row r="15" spans="2:19">
      <c r="C15" s="32" t="s">
        <v>33</v>
      </c>
      <c r="D15" s="33" t="s">
        <v>14</v>
      </c>
      <c r="E15" s="34" t="s">
        <v>27</v>
      </c>
      <c r="F15" s="233" t="s">
        <v>28</v>
      </c>
      <c r="G15" s="37" t="s">
        <v>28</v>
      </c>
      <c r="H15" s="56">
        <v>-6</v>
      </c>
      <c r="I15" s="59">
        <v>-4</v>
      </c>
      <c r="K15" s="136"/>
      <c r="L15" s="119"/>
      <c r="M15" s="137" t="s">
        <v>29</v>
      </c>
      <c r="N15" s="136" t="s">
        <v>30</v>
      </c>
      <c r="O15" s="119"/>
      <c r="P15" s="138"/>
      <c r="Q15" s="136" t="s">
        <v>17</v>
      </c>
      <c r="R15" s="137" t="s">
        <v>29</v>
      </c>
      <c r="S15" s="38"/>
    </row>
    <row r="16" spans="2:19">
      <c r="C16" s="32" t="s">
        <v>34</v>
      </c>
      <c r="D16" s="33" t="s">
        <v>14</v>
      </c>
      <c r="E16" s="34" t="s">
        <v>27</v>
      </c>
      <c r="F16" s="233" t="s">
        <v>28</v>
      </c>
      <c r="G16" s="37" t="s">
        <v>28</v>
      </c>
      <c r="H16" s="56">
        <v>0</v>
      </c>
      <c r="I16" s="59">
        <v>-4</v>
      </c>
      <c r="K16" s="136"/>
      <c r="L16" s="119"/>
      <c r="M16" s="137" t="s">
        <v>29</v>
      </c>
      <c r="N16" s="136" t="s">
        <v>30</v>
      </c>
      <c r="O16" s="119"/>
      <c r="P16" s="138"/>
      <c r="Q16" s="136" t="s">
        <v>30</v>
      </c>
      <c r="R16" s="137" t="s">
        <v>30</v>
      </c>
      <c r="S16" s="38"/>
    </row>
    <row r="17" spans="3:19">
      <c r="C17" s="32" t="s">
        <v>35</v>
      </c>
      <c r="D17" s="33" t="s">
        <v>14</v>
      </c>
      <c r="E17" s="34" t="s">
        <v>27</v>
      </c>
      <c r="F17" s="233" t="s">
        <v>28</v>
      </c>
      <c r="G17" s="37" t="s">
        <v>28</v>
      </c>
      <c r="H17" s="56">
        <v>0</v>
      </c>
      <c r="I17" s="59">
        <v>-4</v>
      </c>
      <c r="K17" s="136"/>
      <c r="L17" s="119"/>
      <c r="M17" s="137" t="s">
        <v>29</v>
      </c>
      <c r="N17" s="136" t="s">
        <v>30</v>
      </c>
      <c r="O17" s="119"/>
      <c r="P17" s="138"/>
      <c r="Q17" s="136" t="s">
        <v>30</v>
      </c>
      <c r="R17" s="137" t="s">
        <v>30</v>
      </c>
      <c r="S17" s="38"/>
    </row>
    <row r="18" spans="3:19">
      <c r="C18" s="32" t="s">
        <v>36</v>
      </c>
      <c r="D18" s="33" t="s">
        <v>14</v>
      </c>
      <c r="E18" s="34" t="s">
        <v>27</v>
      </c>
      <c r="F18" s="233" t="s">
        <v>28</v>
      </c>
      <c r="G18" s="37" t="s">
        <v>28</v>
      </c>
      <c r="H18" s="56">
        <v>-6</v>
      </c>
      <c r="I18" s="59">
        <v>-4</v>
      </c>
      <c r="K18" s="136"/>
      <c r="L18" s="119"/>
      <c r="M18" s="137" t="s">
        <v>29</v>
      </c>
      <c r="N18" s="136" t="s">
        <v>30</v>
      </c>
      <c r="O18" s="119"/>
      <c r="P18" s="138"/>
      <c r="Q18" s="136" t="s">
        <v>17</v>
      </c>
      <c r="R18" s="137" t="s">
        <v>29</v>
      </c>
      <c r="S18" s="38"/>
    </row>
    <row r="19" spans="3:19">
      <c r="C19" s="32" t="s">
        <v>37</v>
      </c>
      <c r="D19" s="33" t="s">
        <v>14</v>
      </c>
      <c r="E19" s="34" t="s">
        <v>27</v>
      </c>
      <c r="F19" s="233" t="s">
        <v>28</v>
      </c>
      <c r="G19" s="37" t="s">
        <v>28</v>
      </c>
      <c r="H19" s="56">
        <v>-5</v>
      </c>
      <c r="I19" s="59">
        <v>-4</v>
      </c>
      <c r="K19" s="136"/>
      <c r="L19" s="119" t="s">
        <v>29</v>
      </c>
      <c r="M19" s="137"/>
      <c r="N19" s="136" t="s">
        <v>30</v>
      </c>
      <c r="O19" s="119"/>
      <c r="P19" s="138"/>
      <c r="Q19" s="136" t="s">
        <v>17</v>
      </c>
      <c r="R19" s="137" t="s">
        <v>29</v>
      </c>
      <c r="S19" s="38"/>
    </row>
    <row r="20" spans="3:19">
      <c r="C20" s="32" t="s">
        <v>38</v>
      </c>
      <c r="D20" s="33" t="s">
        <v>14</v>
      </c>
      <c r="E20" s="34" t="s">
        <v>27</v>
      </c>
      <c r="F20" s="233" t="s">
        <v>28</v>
      </c>
      <c r="G20" s="37" t="s">
        <v>28</v>
      </c>
      <c r="H20" s="56">
        <v>0</v>
      </c>
      <c r="I20" s="59">
        <v>-4</v>
      </c>
      <c r="K20" s="136"/>
      <c r="L20" s="119"/>
      <c r="M20" s="137" t="s">
        <v>29</v>
      </c>
      <c r="N20" s="136" t="s">
        <v>30</v>
      </c>
      <c r="O20" s="119"/>
      <c r="P20" s="138"/>
      <c r="Q20" s="136" t="s">
        <v>30</v>
      </c>
      <c r="R20" s="137" t="s">
        <v>30</v>
      </c>
      <c r="S20" s="38"/>
    </row>
    <row r="21" spans="3:19" ht="16.5" thickBot="1">
      <c r="C21" s="39" t="s">
        <v>39</v>
      </c>
      <c r="D21" s="40" t="s">
        <v>14</v>
      </c>
      <c r="E21" s="41" t="s">
        <v>27</v>
      </c>
      <c r="F21" s="235" t="s">
        <v>28</v>
      </c>
      <c r="G21" s="45" t="s">
        <v>28</v>
      </c>
      <c r="H21" s="60">
        <v>0</v>
      </c>
      <c r="I21" s="63">
        <v>-4</v>
      </c>
      <c r="K21" s="143"/>
      <c r="L21" s="145"/>
      <c r="M21" s="144" t="s">
        <v>29</v>
      </c>
      <c r="N21" s="143" t="s">
        <v>30</v>
      </c>
      <c r="O21" s="145"/>
      <c r="P21" s="146"/>
      <c r="Q21" s="143" t="s">
        <v>30</v>
      </c>
      <c r="R21" s="144" t="s">
        <v>30</v>
      </c>
      <c r="S21" s="49"/>
    </row>
    <row r="22" spans="3:19">
      <c r="C22" s="28" t="s">
        <v>40</v>
      </c>
      <c r="D22" s="158" t="s">
        <v>24</v>
      </c>
      <c r="E22" s="159" t="s">
        <v>27</v>
      </c>
      <c r="F22" s="236" t="s">
        <v>28</v>
      </c>
      <c r="G22" s="160" t="s">
        <v>28</v>
      </c>
      <c r="H22" s="54">
        <v>-5</v>
      </c>
      <c r="I22" s="94">
        <v>-4</v>
      </c>
      <c r="K22" s="147"/>
      <c r="L22" s="148"/>
      <c r="M22" s="149" t="s">
        <v>17</v>
      </c>
      <c r="N22" s="147" t="s">
        <v>30</v>
      </c>
      <c r="O22" s="148"/>
      <c r="P22" s="150"/>
      <c r="Q22" s="132" t="s">
        <v>30</v>
      </c>
      <c r="R22" s="134" t="s">
        <v>30</v>
      </c>
      <c r="S22" s="50" t="s">
        <v>41</v>
      </c>
    </row>
    <row r="23" spans="3:19">
      <c r="C23" s="32" t="s">
        <v>42</v>
      </c>
      <c r="D23" s="33" t="s">
        <v>24</v>
      </c>
      <c r="E23" s="34" t="s">
        <v>27</v>
      </c>
      <c r="F23" s="233" t="s">
        <v>28</v>
      </c>
      <c r="G23" s="247" t="s">
        <v>28</v>
      </c>
      <c r="H23" s="248">
        <v>0</v>
      </c>
      <c r="I23" s="249">
        <v>-1</v>
      </c>
      <c r="K23" s="136"/>
      <c r="L23" s="119" t="s">
        <v>43</v>
      </c>
      <c r="M23" s="137" t="s">
        <v>44</v>
      </c>
      <c r="N23" s="136"/>
      <c r="O23" s="119"/>
      <c r="P23" s="138"/>
      <c r="Q23" s="136"/>
      <c r="R23" s="137"/>
      <c r="S23" s="253" t="s">
        <v>45</v>
      </c>
    </row>
    <row r="24" spans="3:19">
      <c r="C24" s="32" t="s">
        <v>46</v>
      </c>
      <c r="D24" s="33" t="s">
        <v>24</v>
      </c>
      <c r="E24" s="34" t="s">
        <v>27</v>
      </c>
      <c r="F24" s="233" t="s">
        <v>16</v>
      </c>
      <c r="G24" s="128" t="s">
        <v>16</v>
      </c>
      <c r="H24" s="156">
        <v>0</v>
      </c>
      <c r="I24" s="122">
        <v>0</v>
      </c>
      <c r="K24" s="136"/>
      <c r="L24" s="119" t="s">
        <v>43</v>
      </c>
      <c r="M24" s="137" t="s">
        <v>44</v>
      </c>
      <c r="N24" s="136"/>
      <c r="O24" s="119"/>
      <c r="P24" s="138"/>
      <c r="Q24" s="136"/>
      <c r="R24" s="137"/>
      <c r="S24" s="38" t="s">
        <v>22</v>
      </c>
    </row>
    <row r="25" spans="3:19">
      <c r="C25" s="32" t="s">
        <v>47</v>
      </c>
      <c r="D25" s="33" t="s">
        <v>24</v>
      </c>
      <c r="E25" s="34" t="s">
        <v>27</v>
      </c>
      <c r="F25" s="233" t="s">
        <v>16</v>
      </c>
      <c r="G25" s="128" t="s">
        <v>16</v>
      </c>
      <c r="H25" s="156">
        <v>0</v>
      </c>
      <c r="I25" s="122">
        <v>0</v>
      </c>
      <c r="K25" s="136"/>
      <c r="L25" s="119" t="s">
        <v>43</v>
      </c>
      <c r="M25" s="137" t="s">
        <v>44</v>
      </c>
      <c r="N25" s="136"/>
      <c r="O25" s="119"/>
      <c r="P25" s="138"/>
      <c r="Q25" s="136"/>
      <c r="R25" s="137"/>
      <c r="S25" s="38" t="s">
        <v>22</v>
      </c>
    </row>
    <row r="26" spans="3:19">
      <c r="C26" s="32" t="s">
        <v>48</v>
      </c>
      <c r="D26" s="33" t="s">
        <v>24</v>
      </c>
      <c r="E26" s="34" t="s">
        <v>27</v>
      </c>
      <c r="F26" s="233" t="s">
        <v>28</v>
      </c>
      <c r="G26" s="247" t="s">
        <v>28</v>
      </c>
      <c r="H26" s="248">
        <v>0</v>
      </c>
      <c r="I26" s="249">
        <v>-1</v>
      </c>
      <c r="K26" s="136"/>
      <c r="L26" s="119" t="s">
        <v>21</v>
      </c>
      <c r="M26" s="137"/>
      <c r="N26" s="136"/>
      <c r="O26" s="119"/>
      <c r="P26" s="138"/>
      <c r="Q26" s="136"/>
      <c r="R26" s="137"/>
      <c r="S26" s="253" t="s">
        <v>45</v>
      </c>
    </row>
    <row r="27" spans="3:19">
      <c r="C27" s="32" t="s">
        <v>49</v>
      </c>
      <c r="D27" s="33" t="s">
        <v>24</v>
      </c>
      <c r="E27" s="34" t="s">
        <v>27</v>
      </c>
      <c r="F27" s="233" t="s">
        <v>16</v>
      </c>
      <c r="G27" s="128" t="s">
        <v>16</v>
      </c>
      <c r="H27" s="156">
        <v>0</v>
      </c>
      <c r="I27" s="122">
        <v>0</v>
      </c>
      <c r="K27" s="136"/>
      <c r="L27" s="119" t="s">
        <v>21</v>
      </c>
      <c r="M27" s="137"/>
      <c r="N27" s="136"/>
      <c r="O27" s="119"/>
      <c r="P27" s="138"/>
      <c r="Q27" s="136"/>
      <c r="R27" s="137"/>
      <c r="S27" s="38" t="s">
        <v>22</v>
      </c>
    </row>
    <row r="28" spans="3:19">
      <c r="C28" s="32" t="s">
        <v>50</v>
      </c>
      <c r="D28" s="33" t="s">
        <v>24</v>
      </c>
      <c r="E28" s="34" t="s">
        <v>27</v>
      </c>
      <c r="F28" s="233" t="s">
        <v>16</v>
      </c>
      <c r="G28" s="128" t="s">
        <v>16</v>
      </c>
      <c r="H28" s="156">
        <v>0</v>
      </c>
      <c r="I28" s="122">
        <v>0</v>
      </c>
      <c r="K28" s="136"/>
      <c r="L28" s="119" t="s">
        <v>21</v>
      </c>
      <c r="M28" s="137"/>
      <c r="N28" s="136"/>
      <c r="O28" s="119"/>
      <c r="P28" s="138"/>
      <c r="Q28" s="136"/>
      <c r="R28" s="137"/>
      <c r="S28" s="38" t="s">
        <v>22</v>
      </c>
    </row>
    <row r="29" spans="3:19">
      <c r="C29" s="32" t="s">
        <v>51</v>
      </c>
      <c r="D29" s="33" t="s">
        <v>24</v>
      </c>
      <c r="E29" s="34" t="s">
        <v>27</v>
      </c>
      <c r="F29" s="233" t="s">
        <v>28</v>
      </c>
      <c r="G29" s="247" t="s">
        <v>28</v>
      </c>
      <c r="H29" s="248">
        <v>0</v>
      </c>
      <c r="I29" s="249">
        <v>-1</v>
      </c>
      <c r="K29" s="136"/>
      <c r="L29" s="119" t="s">
        <v>21</v>
      </c>
      <c r="M29" s="137"/>
      <c r="N29" s="136"/>
      <c r="O29" s="119"/>
      <c r="P29" s="138"/>
      <c r="Q29" s="136"/>
      <c r="R29" s="137"/>
      <c r="S29" s="253" t="s">
        <v>45</v>
      </c>
    </row>
    <row r="30" spans="3:19">
      <c r="C30" s="32" t="s">
        <v>52</v>
      </c>
      <c r="D30" s="33" t="s">
        <v>24</v>
      </c>
      <c r="E30" s="34" t="s">
        <v>27</v>
      </c>
      <c r="F30" s="233" t="s">
        <v>28</v>
      </c>
      <c r="G30" s="37" t="s">
        <v>28</v>
      </c>
      <c r="H30" s="56">
        <v>-5</v>
      </c>
      <c r="I30" s="59">
        <v>-4</v>
      </c>
      <c r="K30" s="136"/>
      <c r="L30" s="119" t="s">
        <v>17</v>
      </c>
      <c r="M30" s="137"/>
      <c r="N30" s="136"/>
      <c r="O30" s="119"/>
      <c r="P30" s="138"/>
      <c r="Q30" s="136" t="s">
        <v>30</v>
      </c>
      <c r="R30" s="137" t="s">
        <v>30</v>
      </c>
      <c r="S30" s="38" t="s">
        <v>22</v>
      </c>
    </row>
    <row r="31" spans="3:19" ht="16.5" thickBot="1">
      <c r="C31" s="39" t="s">
        <v>53</v>
      </c>
      <c r="D31" s="40" t="s">
        <v>24</v>
      </c>
      <c r="E31" s="41" t="s">
        <v>27</v>
      </c>
      <c r="F31" s="235" t="s">
        <v>28</v>
      </c>
      <c r="G31" s="45" t="s">
        <v>28</v>
      </c>
      <c r="H31" s="60">
        <v>-5</v>
      </c>
      <c r="I31" s="63">
        <v>-4</v>
      </c>
      <c r="K31" s="143"/>
      <c r="L31" s="145" t="s">
        <v>17</v>
      </c>
      <c r="M31" s="144"/>
      <c r="N31" s="143" t="s">
        <v>30</v>
      </c>
      <c r="O31" s="145"/>
      <c r="P31" s="146"/>
      <c r="Q31" s="143" t="s">
        <v>30</v>
      </c>
      <c r="R31" s="144" t="s">
        <v>30</v>
      </c>
      <c r="S31" s="49" t="s">
        <v>41</v>
      </c>
    </row>
    <row r="32" spans="3:19" ht="16.5" thickBot="1"/>
    <row r="33" spans="2:19" ht="16.5" customHeight="1" thickBot="1">
      <c r="B33" s="16" t="s">
        <v>54</v>
      </c>
      <c r="D33" s="17"/>
      <c r="E33" s="17"/>
      <c r="F33" s="266" t="s">
        <v>1</v>
      </c>
      <c r="G33" s="267"/>
      <c r="H33" s="278" t="s">
        <v>2</v>
      </c>
      <c r="I33" s="279"/>
      <c r="K33" s="262" t="s">
        <v>3</v>
      </c>
      <c r="L33" s="263"/>
      <c r="M33" s="264"/>
      <c r="N33" s="262" t="s">
        <v>4</v>
      </c>
      <c r="O33" s="263"/>
      <c r="P33" s="265"/>
      <c r="Q33" s="268" t="s">
        <v>5</v>
      </c>
      <c r="R33" s="272" t="s">
        <v>6</v>
      </c>
      <c r="S33" s="274" t="s">
        <v>7</v>
      </c>
    </row>
    <row r="34" spans="2:19" ht="16.5" thickBot="1">
      <c r="C34" s="163" t="s">
        <v>8</v>
      </c>
      <c r="D34" s="179" t="s">
        <v>9</v>
      </c>
      <c r="E34" s="180" t="s">
        <v>10</v>
      </c>
      <c r="F34" s="239" t="s">
        <v>11</v>
      </c>
      <c r="G34" s="178" t="s">
        <v>12</v>
      </c>
      <c r="H34" s="173" t="s">
        <v>3</v>
      </c>
      <c r="I34" s="174" t="s">
        <v>4</v>
      </c>
      <c r="K34" s="20">
        <v>-4</v>
      </c>
      <c r="L34" s="21">
        <v>-5</v>
      </c>
      <c r="M34" s="22">
        <v>-6</v>
      </c>
      <c r="N34" s="20">
        <v>-4</v>
      </c>
      <c r="O34" s="21">
        <v>-5</v>
      </c>
      <c r="P34" s="23">
        <v>-6</v>
      </c>
      <c r="Q34" s="269"/>
      <c r="R34" s="273"/>
      <c r="S34" s="275"/>
    </row>
    <row r="35" spans="2:19">
      <c r="C35" s="24" t="s">
        <v>55</v>
      </c>
      <c r="D35" s="25" t="s">
        <v>14</v>
      </c>
      <c r="E35" s="26" t="s">
        <v>15</v>
      </c>
      <c r="F35" s="236" t="s">
        <v>16</v>
      </c>
      <c r="G35" s="175" t="s">
        <v>16</v>
      </c>
      <c r="H35" s="170">
        <v>0</v>
      </c>
      <c r="I35" s="121">
        <v>0</v>
      </c>
      <c r="K35" s="132">
        <v>2</v>
      </c>
      <c r="L35" s="133">
        <v>3</v>
      </c>
      <c r="M35" s="134">
        <v>5</v>
      </c>
      <c r="N35" s="132">
        <v>1</v>
      </c>
      <c r="O35" s="133" t="s">
        <v>56</v>
      </c>
      <c r="P35" s="135"/>
      <c r="Q35" s="132"/>
      <c r="R35" s="134"/>
      <c r="S35" s="31"/>
    </row>
    <row r="36" spans="2:19">
      <c r="C36" s="32" t="s">
        <v>57</v>
      </c>
      <c r="D36" s="33" t="s">
        <v>14</v>
      </c>
      <c r="E36" s="34" t="s">
        <v>15</v>
      </c>
      <c r="F36" s="233" t="s">
        <v>16</v>
      </c>
      <c r="G36" s="128" t="s">
        <v>16</v>
      </c>
      <c r="H36" s="156">
        <v>0</v>
      </c>
      <c r="I36" s="122">
        <v>0</v>
      </c>
      <c r="K36" s="136" t="s">
        <v>58</v>
      </c>
      <c r="L36" s="119" t="s">
        <v>59</v>
      </c>
      <c r="M36" s="137"/>
      <c r="N36" s="136"/>
      <c r="O36" s="119"/>
      <c r="P36" s="138"/>
      <c r="Q36" s="136"/>
      <c r="R36" s="137"/>
      <c r="S36" s="38" t="s">
        <v>22</v>
      </c>
    </row>
    <row r="37" spans="2:19">
      <c r="C37" s="32" t="s">
        <v>60</v>
      </c>
      <c r="D37" s="33" t="s">
        <v>14</v>
      </c>
      <c r="E37" s="34" t="s">
        <v>15</v>
      </c>
      <c r="F37" s="233" t="s">
        <v>16</v>
      </c>
      <c r="G37" s="128" t="s">
        <v>16</v>
      </c>
      <c r="H37" s="156">
        <v>0</v>
      </c>
      <c r="I37" s="122">
        <v>0</v>
      </c>
      <c r="K37" s="136" t="s">
        <v>17</v>
      </c>
      <c r="L37" s="119" t="s">
        <v>44</v>
      </c>
      <c r="M37" s="137" t="s">
        <v>61</v>
      </c>
      <c r="N37" s="136"/>
      <c r="O37" s="119"/>
      <c r="P37" s="138"/>
      <c r="Q37" s="136"/>
      <c r="R37" s="137"/>
      <c r="S37" s="38"/>
    </row>
    <row r="38" spans="2:19">
      <c r="C38" s="32" t="s">
        <v>62</v>
      </c>
      <c r="D38" s="33" t="s">
        <v>24</v>
      </c>
      <c r="E38" s="34" t="s">
        <v>15</v>
      </c>
      <c r="F38" s="233" t="s">
        <v>16</v>
      </c>
      <c r="G38" s="128" t="s">
        <v>16</v>
      </c>
      <c r="H38" s="156">
        <v>0</v>
      </c>
      <c r="I38" s="122">
        <v>0</v>
      </c>
      <c r="K38" s="136" t="s">
        <v>21</v>
      </c>
      <c r="L38" s="119"/>
      <c r="M38" s="137"/>
      <c r="N38" s="136" t="s">
        <v>29</v>
      </c>
      <c r="O38" s="119"/>
      <c r="P38" s="138"/>
      <c r="Q38" s="136"/>
      <c r="R38" s="137"/>
      <c r="S38" s="38"/>
    </row>
    <row r="39" spans="2:19" ht="16.5" thickBot="1">
      <c r="C39" s="39" t="s">
        <v>63</v>
      </c>
      <c r="D39" s="40" t="s">
        <v>24</v>
      </c>
      <c r="E39" s="41" t="s">
        <v>15</v>
      </c>
      <c r="F39" s="237" t="s">
        <v>16</v>
      </c>
      <c r="G39" s="167" t="s">
        <v>16</v>
      </c>
      <c r="H39" s="168">
        <v>0</v>
      </c>
      <c r="I39" s="169">
        <v>0</v>
      </c>
      <c r="K39" s="139" t="s">
        <v>21</v>
      </c>
      <c r="L39" s="140"/>
      <c r="M39" s="141"/>
      <c r="N39" s="139"/>
      <c r="O39" s="140"/>
      <c r="P39" s="142"/>
      <c r="Q39" s="143"/>
      <c r="R39" s="144"/>
      <c r="S39" s="46"/>
    </row>
    <row r="40" spans="2:19">
      <c r="C40" s="24" t="s">
        <v>64</v>
      </c>
      <c r="D40" s="25" t="s">
        <v>14</v>
      </c>
      <c r="E40" s="26" t="s">
        <v>65</v>
      </c>
      <c r="F40" s="234" t="s">
        <v>28</v>
      </c>
      <c r="G40" s="30" t="s">
        <v>28</v>
      </c>
      <c r="H40" s="51">
        <v>0</v>
      </c>
      <c r="I40" s="55">
        <v>-4</v>
      </c>
      <c r="K40" s="132"/>
      <c r="L40" s="133"/>
      <c r="M40" s="134" t="s">
        <v>30</v>
      </c>
      <c r="N40" s="132" t="s">
        <v>29</v>
      </c>
      <c r="O40" s="133"/>
      <c r="P40" s="135"/>
      <c r="Q40" s="132" t="s">
        <v>29</v>
      </c>
      <c r="R40" s="134" t="s">
        <v>29</v>
      </c>
      <c r="S40" s="31"/>
    </row>
    <row r="41" spans="2:19">
      <c r="C41" s="32" t="s">
        <v>66</v>
      </c>
      <c r="D41" s="33" t="s">
        <v>14</v>
      </c>
      <c r="E41" s="34" t="s">
        <v>65</v>
      </c>
      <c r="F41" s="233" t="s">
        <v>28</v>
      </c>
      <c r="G41" s="37" t="s">
        <v>28</v>
      </c>
      <c r="H41" s="56">
        <v>-6</v>
      </c>
      <c r="I41" s="59">
        <v>-4</v>
      </c>
      <c r="K41" s="136"/>
      <c r="L41" s="119"/>
      <c r="M41" s="137" t="s">
        <v>17</v>
      </c>
      <c r="N41" s="136" t="s">
        <v>30</v>
      </c>
      <c r="O41" s="119"/>
      <c r="P41" s="138"/>
      <c r="Q41" s="136" t="s">
        <v>30</v>
      </c>
      <c r="R41" s="137" t="s">
        <v>30</v>
      </c>
      <c r="S41" s="38"/>
    </row>
    <row r="42" spans="2:19">
      <c r="C42" s="32" t="s">
        <v>67</v>
      </c>
      <c r="D42" s="33" t="s">
        <v>14</v>
      </c>
      <c r="E42" s="34" t="s">
        <v>65</v>
      </c>
      <c r="F42" s="233" t="s">
        <v>28</v>
      </c>
      <c r="G42" s="37" t="s">
        <v>28</v>
      </c>
      <c r="H42" s="56">
        <v>0</v>
      </c>
      <c r="I42" s="59">
        <v>-4</v>
      </c>
      <c r="K42" s="136"/>
      <c r="L42" s="119"/>
      <c r="M42" s="137" t="s">
        <v>29</v>
      </c>
      <c r="N42" s="136" t="s">
        <v>30</v>
      </c>
      <c r="O42" s="119"/>
      <c r="P42" s="138"/>
      <c r="Q42" s="136" t="s">
        <v>30</v>
      </c>
      <c r="R42" s="137" t="s">
        <v>30</v>
      </c>
      <c r="S42" s="38"/>
    </row>
    <row r="43" spans="2:19">
      <c r="C43" s="32" t="s">
        <v>68</v>
      </c>
      <c r="D43" s="33" t="s">
        <v>14</v>
      </c>
      <c r="E43" s="34" t="s">
        <v>65</v>
      </c>
      <c r="F43" s="233" t="s">
        <v>28</v>
      </c>
      <c r="G43" s="37" t="s">
        <v>28</v>
      </c>
      <c r="H43" s="56">
        <v>-6</v>
      </c>
      <c r="I43" s="59">
        <v>-4</v>
      </c>
      <c r="K43" s="136"/>
      <c r="L43" s="119"/>
      <c r="M43" s="137" t="s">
        <v>17</v>
      </c>
      <c r="N43" s="136" t="s">
        <v>30</v>
      </c>
      <c r="O43" s="119"/>
      <c r="P43" s="138"/>
      <c r="Q43" s="136" t="s">
        <v>30</v>
      </c>
      <c r="R43" s="137" t="s">
        <v>30</v>
      </c>
      <c r="S43" s="38"/>
    </row>
    <row r="44" spans="2:19">
      <c r="C44" s="32" t="s">
        <v>69</v>
      </c>
      <c r="D44" s="33" t="s">
        <v>14</v>
      </c>
      <c r="E44" s="34" t="s">
        <v>65</v>
      </c>
      <c r="F44" s="233" t="s">
        <v>28</v>
      </c>
      <c r="G44" s="37" t="s">
        <v>28</v>
      </c>
      <c r="H44" s="56">
        <v>0</v>
      </c>
      <c r="I44" s="59">
        <v>-4</v>
      </c>
      <c r="K44" s="136" t="s">
        <v>29</v>
      </c>
      <c r="L44" s="119"/>
      <c r="M44" s="137"/>
      <c r="N44" s="136" t="s">
        <v>30</v>
      </c>
      <c r="O44" s="119" t="s">
        <v>30</v>
      </c>
      <c r="P44" s="138"/>
      <c r="Q44" s="136" t="s">
        <v>30</v>
      </c>
      <c r="R44" s="137" t="s">
        <v>30</v>
      </c>
      <c r="S44" s="38"/>
    </row>
    <row r="45" spans="2:19">
      <c r="C45" s="28" t="s">
        <v>70</v>
      </c>
      <c r="D45" s="33" t="s">
        <v>14</v>
      </c>
      <c r="E45" s="34" t="s">
        <v>65</v>
      </c>
      <c r="F45" s="233" t="s">
        <v>28</v>
      </c>
      <c r="G45" s="37" t="s">
        <v>28</v>
      </c>
      <c r="H45" s="56">
        <v>-6</v>
      </c>
      <c r="I45" s="59">
        <v>-4</v>
      </c>
      <c r="K45" s="136"/>
      <c r="L45" s="119"/>
      <c r="M45" s="137" t="s">
        <v>29</v>
      </c>
      <c r="N45" s="136" t="s">
        <v>30</v>
      </c>
      <c r="O45" s="119"/>
      <c r="P45" s="138"/>
      <c r="Q45" s="136" t="s">
        <v>30</v>
      </c>
      <c r="R45" s="137" t="s">
        <v>30</v>
      </c>
      <c r="S45" s="38"/>
    </row>
    <row r="46" spans="2:19">
      <c r="C46" s="32" t="s">
        <v>71</v>
      </c>
      <c r="D46" s="33" t="s">
        <v>14</v>
      </c>
      <c r="E46" s="34" t="s">
        <v>65</v>
      </c>
      <c r="F46" s="233" t="s">
        <v>28</v>
      </c>
      <c r="G46" s="37" t="s">
        <v>28</v>
      </c>
      <c r="H46" s="56">
        <v>-4</v>
      </c>
      <c r="I46" s="59">
        <v>-4</v>
      </c>
      <c r="K46" s="136" t="s">
        <v>17</v>
      </c>
      <c r="L46" s="119"/>
      <c r="M46" s="137"/>
      <c r="N46" s="136" t="s">
        <v>30</v>
      </c>
      <c r="O46" s="119" t="s">
        <v>30</v>
      </c>
      <c r="P46" s="138"/>
      <c r="Q46" s="136" t="s">
        <v>30</v>
      </c>
      <c r="R46" s="137" t="s">
        <v>30</v>
      </c>
      <c r="S46" s="38"/>
    </row>
    <row r="47" spans="2:19">
      <c r="C47" s="32" t="s">
        <v>72</v>
      </c>
      <c r="D47" s="33" t="s">
        <v>14</v>
      </c>
      <c r="E47" s="34" t="s">
        <v>65</v>
      </c>
      <c r="F47" s="233" t="s">
        <v>28</v>
      </c>
      <c r="G47" s="37" t="s">
        <v>28</v>
      </c>
      <c r="H47" s="166" t="s">
        <v>73</v>
      </c>
      <c r="I47" s="59">
        <v>-6</v>
      </c>
      <c r="K47" s="136"/>
      <c r="L47" s="119" t="s">
        <v>29</v>
      </c>
      <c r="M47" s="137" t="s">
        <v>29</v>
      </c>
      <c r="N47" s="136" t="s">
        <v>30</v>
      </c>
      <c r="O47" s="119"/>
      <c r="P47" s="138"/>
      <c r="Q47" s="136" t="s">
        <v>17</v>
      </c>
      <c r="R47" s="137" t="s">
        <v>30</v>
      </c>
      <c r="S47" s="38"/>
    </row>
    <row r="48" spans="2:19">
      <c r="C48" s="32" t="s">
        <v>74</v>
      </c>
      <c r="D48" s="33" t="s">
        <v>14</v>
      </c>
      <c r="E48" s="34" t="s">
        <v>65</v>
      </c>
      <c r="F48" s="233" t="s">
        <v>28</v>
      </c>
      <c r="G48" s="37" t="s">
        <v>28</v>
      </c>
      <c r="H48" s="56">
        <v>-6</v>
      </c>
      <c r="I48" s="59">
        <v>-4</v>
      </c>
      <c r="K48" s="136"/>
      <c r="L48" s="119"/>
      <c r="M48" s="137" t="s">
        <v>17</v>
      </c>
      <c r="N48" s="136" t="s">
        <v>30</v>
      </c>
      <c r="O48" s="119"/>
      <c r="P48" s="138"/>
      <c r="Q48" s="136" t="s">
        <v>30</v>
      </c>
      <c r="R48" s="137" t="s">
        <v>30</v>
      </c>
      <c r="S48" s="38"/>
    </row>
    <row r="49" spans="2:19" ht="16.5" thickBot="1">
      <c r="C49" s="39" t="s">
        <v>75</v>
      </c>
      <c r="D49" s="47" t="s">
        <v>14</v>
      </c>
      <c r="E49" s="48" t="s">
        <v>65</v>
      </c>
      <c r="F49" s="235" t="s">
        <v>28</v>
      </c>
      <c r="G49" s="45" t="s">
        <v>28</v>
      </c>
      <c r="H49" s="60">
        <v>0</v>
      </c>
      <c r="I49" s="63">
        <v>-4</v>
      </c>
      <c r="K49" s="143"/>
      <c r="L49" s="145" t="s">
        <v>29</v>
      </c>
      <c r="M49" s="144" t="s">
        <v>29</v>
      </c>
      <c r="N49" s="143" t="s">
        <v>30</v>
      </c>
      <c r="O49" s="145"/>
      <c r="P49" s="146"/>
      <c r="Q49" s="143" t="s">
        <v>30</v>
      </c>
      <c r="R49" s="144" t="s">
        <v>30</v>
      </c>
      <c r="S49" s="49"/>
    </row>
    <row r="50" spans="2:19">
      <c r="C50" s="24" t="s">
        <v>76</v>
      </c>
      <c r="D50" s="25" t="s">
        <v>24</v>
      </c>
      <c r="E50" s="26" t="s">
        <v>65</v>
      </c>
      <c r="F50" s="236" t="s">
        <v>28</v>
      </c>
      <c r="G50" s="250" t="s">
        <v>28</v>
      </c>
      <c r="H50" s="251">
        <v>0</v>
      </c>
      <c r="I50" s="252">
        <v>-1</v>
      </c>
      <c r="K50" s="147" t="s">
        <v>77</v>
      </c>
      <c r="L50" s="148" t="s">
        <v>78</v>
      </c>
      <c r="M50" s="149"/>
      <c r="N50" s="147"/>
      <c r="O50" s="148"/>
      <c r="P50" s="150"/>
      <c r="Q50" s="132"/>
      <c r="R50" s="134"/>
      <c r="S50" s="253" t="s">
        <v>45</v>
      </c>
    </row>
    <row r="51" spans="2:19">
      <c r="C51" s="32" t="s">
        <v>79</v>
      </c>
      <c r="D51" s="33" t="s">
        <v>24</v>
      </c>
      <c r="E51" s="34" t="s">
        <v>65</v>
      </c>
      <c r="F51" s="233" t="s">
        <v>28</v>
      </c>
      <c r="G51" s="37" t="s">
        <v>28</v>
      </c>
      <c r="H51" s="56">
        <v>-5</v>
      </c>
      <c r="I51" s="59">
        <v>0</v>
      </c>
      <c r="K51" s="136"/>
      <c r="L51" s="119" t="s">
        <v>17</v>
      </c>
      <c r="M51" s="137"/>
      <c r="N51" s="136"/>
      <c r="O51" s="119"/>
      <c r="P51" s="138"/>
      <c r="Q51" s="136" t="s">
        <v>29</v>
      </c>
      <c r="R51" s="137" t="s">
        <v>29</v>
      </c>
      <c r="S51" s="38" t="s">
        <v>22</v>
      </c>
    </row>
    <row r="52" spans="2:19">
      <c r="C52" s="32" t="s">
        <v>80</v>
      </c>
      <c r="D52" s="33" t="s">
        <v>24</v>
      </c>
      <c r="E52" s="34" t="s">
        <v>65</v>
      </c>
      <c r="F52" s="233" t="s">
        <v>28</v>
      </c>
      <c r="G52" s="37" t="s">
        <v>28</v>
      </c>
      <c r="H52" s="56">
        <v>0</v>
      </c>
      <c r="I52" s="59">
        <v>-4</v>
      </c>
      <c r="K52" s="136"/>
      <c r="L52" s="119" t="s">
        <v>17</v>
      </c>
      <c r="M52" s="137"/>
      <c r="N52" s="136" t="s">
        <v>30</v>
      </c>
      <c r="O52" s="119"/>
      <c r="P52" s="138"/>
      <c r="Q52" s="136" t="s">
        <v>30</v>
      </c>
      <c r="R52" s="137" t="s">
        <v>30</v>
      </c>
      <c r="S52" s="38" t="s">
        <v>81</v>
      </c>
    </row>
    <row r="53" spans="2:19">
      <c r="C53" s="32" t="s">
        <v>82</v>
      </c>
      <c r="D53" s="33" t="s">
        <v>24</v>
      </c>
      <c r="E53" s="34" t="s">
        <v>65</v>
      </c>
      <c r="F53" s="233" t="s">
        <v>28</v>
      </c>
      <c r="G53" s="247" t="s">
        <v>28</v>
      </c>
      <c r="H53" s="248">
        <v>0</v>
      </c>
      <c r="I53" s="249">
        <v>-1</v>
      </c>
      <c r="K53" s="136"/>
      <c r="L53" s="119" t="s">
        <v>21</v>
      </c>
      <c r="M53" s="137"/>
      <c r="N53" s="136" t="s">
        <v>30</v>
      </c>
      <c r="O53" s="119"/>
      <c r="P53" s="138"/>
      <c r="Q53" s="136"/>
      <c r="R53" s="137"/>
      <c r="S53" s="253" t="s">
        <v>45</v>
      </c>
    </row>
    <row r="54" spans="2:19">
      <c r="C54" s="32" t="s">
        <v>83</v>
      </c>
      <c r="D54" s="33" t="s">
        <v>24</v>
      </c>
      <c r="E54" s="34" t="s">
        <v>65</v>
      </c>
      <c r="F54" s="233" t="s">
        <v>28</v>
      </c>
      <c r="G54" s="37" t="s">
        <v>28</v>
      </c>
      <c r="H54" s="56">
        <v>0</v>
      </c>
      <c r="I54" s="59">
        <v>-4</v>
      </c>
      <c r="K54" s="136"/>
      <c r="L54" s="119"/>
      <c r="M54" s="137" t="s">
        <v>17</v>
      </c>
      <c r="N54" s="136" t="s">
        <v>30</v>
      </c>
      <c r="O54" s="119"/>
      <c r="P54" s="138"/>
      <c r="Q54" s="136" t="s">
        <v>29</v>
      </c>
      <c r="R54" s="137" t="s">
        <v>29</v>
      </c>
      <c r="S54" s="38" t="s">
        <v>81</v>
      </c>
    </row>
    <row r="55" spans="2:19">
      <c r="C55" s="28" t="s">
        <v>84</v>
      </c>
      <c r="D55" s="33" t="s">
        <v>24</v>
      </c>
      <c r="E55" s="34" t="s">
        <v>65</v>
      </c>
      <c r="F55" s="233" t="s">
        <v>28</v>
      </c>
      <c r="G55" s="247" t="s">
        <v>28</v>
      </c>
      <c r="H55" s="248">
        <v>0</v>
      </c>
      <c r="I55" s="249">
        <v>-1</v>
      </c>
      <c r="K55" s="136" t="s">
        <v>85</v>
      </c>
      <c r="L55" s="119" t="s">
        <v>21</v>
      </c>
      <c r="M55" s="137"/>
      <c r="N55" s="136"/>
      <c r="O55" s="119"/>
      <c r="P55" s="138"/>
      <c r="Q55" s="136"/>
      <c r="R55" s="137"/>
      <c r="S55" s="253" t="s">
        <v>45</v>
      </c>
    </row>
    <row r="56" spans="2:19">
      <c r="C56" s="32" t="s">
        <v>86</v>
      </c>
      <c r="D56" s="33" t="s">
        <v>24</v>
      </c>
      <c r="E56" s="34" t="s">
        <v>65</v>
      </c>
      <c r="F56" s="233" t="s">
        <v>28</v>
      </c>
      <c r="G56" s="37" t="s">
        <v>28</v>
      </c>
      <c r="H56" s="166" t="s">
        <v>73</v>
      </c>
      <c r="I56" s="59">
        <v>0</v>
      </c>
      <c r="K56" s="136" t="s">
        <v>29</v>
      </c>
      <c r="L56" s="119" t="s">
        <v>17</v>
      </c>
      <c r="M56" s="137"/>
      <c r="N56" s="136"/>
      <c r="O56" s="119"/>
      <c r="P56" s="138" t="s">
        <v>30</v>
      </c>
      <c r="Q56" s="136" t="s">
        <v>29</v>
      </c>
      <c r="R56" s="137" t="s">
        <v>29</v>
      </c>
      <c r="S56" s="38" t="s">
        <v>41</v>
      </c>
    </row>
    <row r="57" spans="2:19">
      <c r="C57" s="32" t="s">
        <v>87</v>
      </c>
      <c r="D57" s="33" t="s">
        <v>24</v>
      </c>
      <c r="E57" s="34" t="s">
        <v>65</v>
      </c>
      <c r="F57" s="233" t="s">
        <v>28</v>
      </c>
      <c r="G57" s="247" t="s">
        <v>28</v>
      </c>
      <c r="H57" s="248">
        <v>0</v>
      </c>
      <c r="I57" s="249">
        <v>-1</v>
      </c>
      <c r="K57" s="136" t="s">
        <v>29</v>
      </c>
      <c r="L57" s="119" t="s">
        <v>21</v>
      </c>
      <c r="M57" s="137"/>
      <c r="N57" s="136"/>
      <c r="O57" s="119"/>
      <c r="P57" s="138"/>
      <c r="Q57" s="136"/>
      <c r="R57" s="137"/>
      <c r="S57" s="253" t="s">
        <v>45</v>
      </c>
    </row>
    <row r="58" spans="2:19">
      <c r="C58" s="32" t="s">
        <v>88</v>
      </c>
      <c r="D58" s="33" t="s">
        <v>24</v>
      </c>
      <c r="E58" s="34" t="s">
        <v>65</v>
      </c>
      <c r="F58" s="233" t="s">
        <v>28</v>
      </c>
      <c r="G58" s="37" t="s">
        <v>28</v>
      </c>
      <c r="H58" s="56">
        <v>-5</v>
      </c>
      <c r="I58" s="59">
        <v>-4</v>
      </c>
      <c r="K58" s="136"/>
      <c r="L58" s="119" t="s">
        <v>17</v>
      </c>
      <c r="M58" s="137"/>
      <c r="N58" s="136" t="s">
        <v>30</v>
      </c>
      <c r="O58" s="119"/>
      <c r="P58" s="138"/>
      <c r="Q58" s="136" t="s">
        <v>30</v>
      </c>
      <c r="R58" s="137" t="s">
        <v>30</v>
      </c>
      <c r="S58" s="38"/>
    </row>
    <row r="59" spans="2:19" ht="16.5" thickBot="1">
      <c r="C59" s="39" t="s">
        <v>89</v>
      </c>
      <c r="D59" s="40" t="s">
        <v>24</v>
      </c>
      <c r="E59" s="41" t="s">
        <v>65</v>
      </c>
      <c r="F59" s="235" t="s">
        <v>28</v>
      </c>
      <c r="G59" s="45" t="s">
        <v>28</v>
      </c>
      <c r="H59" s="60">
        <v>-5</v>
      </c>
      <c r="I59" s="63">
        <v>-4</v>
      </c>
      <c r="K59" s="143"/>
      <c r="L59" s="145" t="s">
        <v>17</v>
      </c>
      <c r="M59" s="144"/>
      <c r="N59" s="143" t="s">
        <v>30</v>
      </c>
      <c r="O59" s="145"/>
      <c r="P59" s="146"/>
      <c r="Q59" s="143" t="s">
        <v>30</v>
      </c>
      <c r="R59" s="144" t="s">
        <v>30</v>
      </c>
      <c r="S59" s="49"/>
    </row>
    <row r="60" spans="2:19" ht="16.5" thickBot="1">
      <c r="C60" s="64"/>
      <c r="D60" s="64"/>
      <c r="E60" s="64"/>
      <c r="F60" s="11"/>
      <c r="G60" s="11"/>
      <c r="H60" s="11"/>
      <c r="I60" s="11"/>
    </row>
    <row r="61" spans="2:19" ht="16.5" customHeight="1" thickBot="1">
      <c r="B61" s="65" t="s">
        <v>90</v>
      </c>
      <c r="D61" s="66"/>
      <c r="E61" s="66"/>
      <c r="F61" s="260" t="s">
        <v>1</v>
      </c>
      <c r="G61" s="261"/>
      <c r="H61" s="284" t="s">
        <v>2</v>
      </c>
      <c r="I61" s="285"/>
      <c r="K61" s="262" t="s">
        <v>3</v>
      </c>
      <c r="L61" s="263"/>
      <c r="M61" s="264"/>
      <c r="N61" s="262" t="s">
        <v>4</v>
      </c>
      <c r="O61" s="263"/>
      <c r="P61" s="265"/>
      <c r="Q61" s="268" t="s">
        <v>5</v>
      </c>
      <c r="R61" s="272" t="s">
        <v>6</v>
      </c>
      <c r="S61" s="274" t="s">
        <v>7</v>
      </c>
    </row>
    <row r="62" spans="2:19" ht="16.5" thickBot="1">
      <c r="C62" s="190" t="s">
        <v>8</v>
      </c>
      <c r="D62" s="191" t="s">
        <v>9</v>
      </c>
      <c r="E62" s="183" t="s">
        <v>10</v>
      </c>
      <c r="F62" s="185" t="s">
        <v>11</v>
      </c>
      <c r="G62" s="185" t="s">
        <v>12</v>
      </c>
      <c r="H62" s="18" t="s">
        <v>3</v>
      </c>
      <c r="I62" s="19" t="s">
        <v>4</v>
      </c>
      <c r="K62" s="20">
        <v>-4</v>
      </c>
      <c r="L62" s="21">
        <v>-5</v>
      </c>
      <c r="M62" s="22">
        <v>-6</v>
      </c>
      <c r="N62" s="20">
        <v>-4</v>
      </c>
      <c r="O62" s="21">
        <v>-5</v>
      </c>
      <c r="P62" s="23">
        <v>-6</v>
      </c>
      <c r="Q62" s="269"/>
      <c r="R62" s="273"/>
      <c r="S62" s="275"/>
    </row>
    <row r="63" spans="2:19">
      <c r="C63" s="70" t="s">
        <v>91</v>
      </c>
      <c r="D63" s="187" t="s">
        <v>92</v>
      </c>
      <c r="E63" s="188" t="s">
        <v>15</v>
      </c>
      <c r="F63" s="236" t="s">
        <v>16</v>
      </c>
      <c r="G63" s="175" t="s">
        <v>16</v>
      </c>
      <c r="H63" s="195">
        <v>0</v>
      </c>
      <c r="I63" s="196">
        <v>0</v>
      </c>
      <c r="K63" s="132"/>
      <c r="L63" s="133" t="s">
        <v>21</v>
      </c>
      <c r="M63" s="134"/>
      <c r="N63" s="132"/>
      <c r="O63" s="133"/>
      <c r="P63" s="135"/>
      <c r="Q63" s="132"/>
      <c r="R63" s="134"/>
      <c r="S63" s="31" t="s">
        <v>22</v>
      </c>
    </row>
    <row r="64" spans="2:19">
      <c r="C64" s="2" t="s">
        <v>93</v>
      </c>
      <c r="D64" s="71" t="s">
        <v>92</v>
      </c>
      <c r="E64" s="72" t="s">
        <v>15</v>
      </c>
      <c r="F64" s="233" t="s">
        <v>16</v>
      </c>
      <c r="G64" s="128" t="s">
        <v>16</v>
      </c>
      <c r="H64" s="125">
        <v>0</v>
      </c>
      <c r="I64" s="194">
        <v>0</v>
      </c>
      <c r="K64" s="136"/>
      <c r="L64" s="119" t="s">
        <v>43</v>
      </c>
      <c r="M64" s="137" t="s">
        <v>44</v>
      </c>
      <c r="N64" s="136"/>
      <c r="O64" s="119"/>
      <c r="P64" s="138"/>
      <c r="Q64" s="136"/>
      <c r="R64" s="137"/>
      <c r="S64" s="38" t="s">
        <v>22</v>
      </c>
    </row>
    <row r="65" spans="3:19">
      <c r="C65" s="2" t="s">
        <v>94</v>
      </c>
      <c r="D65" s="71" t="s">
        <v>92</v>
      </c>
      <c r="E65" s="72" t="s">
        <v>15</v>
      </c>
      <c r="F65" s="233" t="s">
        <v>16</v>
      </c>
      <c r="G65" s="128" t="s">
        <v>16</v>
      </c>
      <c r="H65" s="125">
        <v>0</v>
      </c>
      <c r="I65" s="194">
        <v>0</v>
      </c>
      <c r="K65" s="136" t="s">
        <v>21</v>
      </c>
      <c r="L65" s="119"/>
      <c r="M65" s="137"/>
      <c r="N65" s="136"/>
      <c r="O65" s="119"/>
      <c r="P65" s="138"/>
      <c r="Q65" s="136"/>
      <c r="R65" s="137"/>
      <c r="S65" s="38" t="s">
        <v>22</v>
      </c>
    </row>
    <row r="66" spans="3:19">
      <c r="C66" s="2" t="s">
        <v>95</v>
      </c>
      <c r="D66" s="71" t="s">
        <v>96</v>
      </c>
      <c r="E66" s="72" t="s">
        <v>15</v>
      </c>
      <c r="F66" s="233" t="s">
        <v>16</v>
      </c>
      <c r="G66" s="128" t="s">
        <v>16</v>
      </c>
      <c r="H66" s="125">
        <v>0</v>
      </c>
      <c r="I66" s="194">
        <v>0</v>
      </c>
      <c r="K66" s="136"/>
      <c r="L66" s="119" t="s">
        <v>21</v>
      </c>
      <c r="M66" s="137"/>
      <c r="N66" s="136"/>
      <c r="O66" s="119"/>
      <c r="P66" s="138"/>
      <c r="Q66" s="136"/>
      <c r="R66" s="137"/>
      <c r="S66" s="38" t="s">
        <v>22</v>
      </c>
    </row>
    <row r="67" spans="3:19" ht="16.5" thickBot="1">
      <c r="C67" s="8" t="s">
        <v>97</v>
      </c>
      <c r="D67" s="73" t="s">
        <v>96</v>
      </c>
      <c r="E67" s="74" t="s">
        <v>15</v>
      </c>
      <c r="F67" s="237" t="s">
        <v>16</v>
      </c>
      <c r="G67" s="167" t="s">
        <v>16</v>
      </c>
      <c r="H67" s="127">
        <v>0</v>
      </c>
      <c r="I67" s="197">
        <v>0</v>
      </c>
      <c r="K67" s="139"/>
      <c r="L67" s="140" t="s">
        <v>21</v>
      </c>
      <c r="M67" s="141"/>
      <c r="N67" s="139"/>
      <c r="O67" s="140"/>
      <c r="P67" s="142"/>
      <c r="Q67" s="143"/>
      <c r="R67" s="144"/>
      <c r="S67" s="46" t="s">
        <v>22</v>
      </c>
    </row>
    <row r="68" spans="3:19">
      <c r="C68" s="4" t="s">
        <v>98</v>
      </c>
      <c r="D68" s="68" t="s">
        <v>92</v>
      </c>
      <c r="E68" s="69" t="s">
        <v>99</v>
      </c>
      <c r="F68" s="240" t="s">
        <v>28</v>
      </c>
      <c r="G68" s="67" t="s">
        <v>28</v>
      </c>
      <c r="H68" s="4">
        <v>-5</v>
      </c>
      <c r="I68" s="68">
        <v>-5</v>
      </c>
      <c r="K68" s="132"/>
      <c r="L68" s="133" t="s">
        <v>29</v>
      </c>
      <c r="M68" s="134"/>
      <c r="N68" s="132"/>
      <c r="O68" s="133" t="s">
        <v>30</v>
      </c>
      <c r="P68" s="135"/>
      <c r="Q68" s="132" t="s">
        <v>17</v>
      </c>
      <c r="R68" s="134" t="s">
        <v>29</v>
      </c>
      <c r="S68" s="31"/>
    </row>
    <row r="69" spans="3:19">
      <c r="C69" s="2" t="s">
        <v>100</v>
      </c>
      <c r="D69" s="71" t="s">
        <v>92</v>
      </c>
      <c r="E69" s="72" t="s">
        <v>99</v>
      </c>
      <c r="F69" s="233" t="s">
        <v>16</v>
      </c>
      <c r="G69" s="128" t="s">
        <v>16</v>
      </c>
      <c r="H69" s="125">
        <v>0</v>
      </c>
      <c r="I69" s="194">
        <v>0</v>
      </c>
      <c r="K69" s="136"/>
      <c r="L69" s="119" t="s">
        <v>21</v>
      </c>
      <c r="M69" s="137"/>
      <c r="N69" s="136"/>
      <c r="O69" s="119"/>
      <c r="P69" s="138"/>
      <c r="Q69" s="136"/>
      <c r="R69" s="137"/>
      <c r="S69" s="38" t="s">
        <v>22</v>
      </c>
    </row>
    <row r="70" spans="3:19">
      <c r="C70" s="2" t="s">
        <v>101</v>
      </c>
      <c r="D70" s="71" t="s">
        <v>92</v>
      </c>
      <c r="E70" s="72" t="s">
        <v>99</v>
      </c>
      <c r="F70" s="233" t="s">
        <v>16</v>
      </c>
      <c r="G70" s="128" t="s">
        <v>16</v>
      </c>
      <c r="H70" s="125">
        <v>0</v>
      </c>
      <c r="I70" s="194">
        <v>0</v>
      </c>
      <c r="K70" s="136"/>
      <c r="L70" s="119" t="s">
        <v>21</v>
      </c>
      <c r="M70" s="137"/>
      <c r="N70" s="136" t="s">
        <v>30</v>
      </c>
      <c r="O70" s="119"/>
      <c r="P70" s="138"/>
      <c r="Q70" s="136"/>
      <c r="R70" s="137"/>
      <c r="S70" s="38" t="s">
        <v>41</v>
      </c>
    </row>
    <row r="71" spans="3:19">
      <c r="C71" s="2" t="s">
        <v>102</v>
      </c>
      <c r="D71" s="71" t="s">
        <v>92</v>
      </c>
      <c r="E71" s="72" t="s">
        <v>99</v>
      </c>
      <c r="F71" s="241" t="s">
        <v>28</v>
      </c>
      <c r="G71" s="1" t="s">
        <v>28</v>
      </c>
      <c r="H71" s="2">
        <v>-5</v>
      </c>
      <c r="I71" s="71">
        <v>-5</v>
      </c>
      <c r="K71" s="136"/>
      <c r="L71" s="119" t="s">
        <v>29</v>
      </c>
      <c r="M71" s="137"/>
      <c r="N71" s="136"/>
      <c r="O71" s="119" t="s">
        <v>30</v>
      </c>
      <c r="P71" s="138"/>
      <c r="Q71" s="136" t="s">
        <v>17</v>
      </c>
      <c r="R71" s="137" t="s">
        <v>29</v>
      </c>
      <c r="S71" s="38"/>
    </row>
    <row r="72" spans="3:19">
      <c r="C72" s="2" t="s">
        <v>103</v>
      </c>
      <c r="D72" s="71" t="s">
        <v>92</v>
      </c>
      <c r="E72" s="72" t="s">
        <v>99</v>
      </c>
      <c r="F72" s="233" t="s">
        <v>16</v>
      </c>
      <c r="G72" s="128" t="s">
        <v>16</v>
      </c>
      <c r="H72" s="125">
        <v>0</v>
      </c>
      <c r="I72" s="194">
        <v>0</v>
      </c>
      <c r="K72" s="136"/>
      <c r="L72" s="119" t="s">
        <v>17</v>
      </c>
      <c r="M72" s="137" t="s">
        <v>85</v>
      </c>
      <c r="N72" s="136"/>
      <c r="O72" s="119"/>
      <c r="P72" s="138"/>
      <c r="Q72" s="136"/>
      <c r="R72" s="137"/>
      <c r="S72" s="38" t="s">
        <v>22</v>
      </c>
    </row>
    <row r="73" spans="3:19">
      <c r="C73" s="2" t="s">
        <v>104</v>
      </c>
      <c r="D73" s="71" t="s">
        <v>92</v>
      </c>
      <c r="E73" s="72" t="s">
        <v>99</v>
      </c>
      <c r="F73" s="233" t="s">
        <v>16</v>
      </c>
      <c r="G73" s="128" t="s">
        <v>16</v>
      </c>
      <c r="H73" s="125">
        <v>0</v>
      </c>
      <c r="I73" s="194">
        <v>0</v>
      </c>
      <c r="K73" s="136"/>
      <c r="L73" s="119" t="s">
        <v>21</v>
      </c>
      <c r="M73" s="137"/>
      <c r="N73" s="136"/>
      <c r="O73" s="119"/>
      <c r="P73" s="138"/>
      <c r="Q73" s="136"/>
      <c r="R73" s="137"/>
      <c r="S73" s="38" t="s">
        <v>22</v>
      </c>
    </row>
    <row r="74" spans="3:19">
      <c r="C74" s="2" t="s">
        <v>105</v>
      </c>
      <c r="D74" s="71" t="s">
        <v>92</v>
      </c>
      <c r="E74" s="72" t="s">
        <v>99</v>
      </c>
      <c r="F74" s="233" t="s">
        <v>16</v>
      </c>
      <c r="G74" s="128" t="s">
        <v>16</v>
      </c>
      <c r="H74" s="125">
        <v>0</v>
      </c>
      <c r="I74" s="194">
        <v>0</v>
      </c>
      <c r="K74" s="136" t="s">
        <v>21</v>
      </c>
      <c r="L74" s="119"/>
      <c r="M74" s="137"/>
      <c r="N74" s="136"/>
      <c r="O74" s="119"/>
      <c r="P74" s="138"/>
      <c r="Q74" s="136"/>
      <c r="R74" s="137"/>
      <c r="S74" s="38" t="s">
        <v>22</v>
      </c>
    </row>
    <row r="75" spans="3:19">
      <c r="C75" s="2" t="s">
        <v>106</v>
      </c>
      <c r="D75" s="71" t="s">
        <v>92</v>
      </c>
      <c r="E75" s="72" t="s">
        <v>99</v>
      </c>
      <c r="F75" s="241" t="s">
        <v>28</v>
      </c>
      <c r="G75" s="1" t="s">
        <v>28</v>
      </c>
      <c r="H75" s="166" t="s">
        <v>73</v>
      </c>
      <c r="I75" s="71">
        <v>-5</v>
      </c>
      <c r="K75" s="136" t="s">
        <v>29</v>
      </c>
      <c r="L75" s="119" t="s">
        <v>29</v>
      </c>
      <c r="M75" s="137"/>
      <c r="N75" s="136"/>
      <c r="O75" s="119" t="s">
        <v>30</v>
      </c>
      <c r="P75" s="138"/>
      <c r="Q75" s="136" t="s">
        <v>17</v>
      </c>
      <c r="R75" s="137" t="s">
        <v>29</v>
      </c>
      <c r="S75" s="38"/>
    </row>
    <row r="76" spans="3:19">
      <c r="C76" s="2" t="s">
        <v>107</v>
      </c>
      <c r="D76" s="71" t="s">
        <v>92</v>
      </c>
      <c r="E76" s="72" t="s">
        <v>99</v>
      </c>
      <c r="F76" s="233" t="s">
        <v>16</v>
      </c>
      <c r="G76" s="128" t="s">
        <v>16</v>
      </c>
      <c r="H76" s="125">
        <v>0</v>
      </c>
      <c r="I76" s="194">
        <v>0</v>
      </c>
      <c r="K76" s="136" t="s">
        <v>108</v>
      </c>
      <c r="L76" s="119" t="s">
        <v>30</v>
      </c>
      <c r="M76" s="137"/>
      <c r="N76" s="136"/>
      <c r="O76" s="119"/>
      <c r="P76" s="138"/>
      <c r="Q76" s="136"/>
      <c r="R76" s="137"/>
      <c r="S76" s="38" t="s">
        <v>22</v>
      </c>
    </row>
    <row r="77" spans="3:19" ht="16.5" thickBot="1">
      <c r="C77" s="8" t="s">
        <v>109</v>
      </c>
      <c r="D77" s="73" t="s">
        <v>92</v>
      </c>
      <c r="E77" s="77" t="s">
        <v>99</v>
      </c>
      <c r="F77" s="242" t="s">
        <v>28</v>
      </c>
      <c r="G77" s="76" t="s">
        <v>28</v>
      </c>
      <c r="H77" s="8">
        <v>-4</v>
      </c>
      <c r="I77" s="73">
        <v>-4</v>
      </c>
      <c r="K77" s="143" t="s">
        <v>29</v>
      </c>
      <c r="L77" s="145"/>
      <c r="M77" s="144"/>
      <c r="N77" s="143" t="s">
        <v>30</v>
      </c>
      <c r="O77" s="145"/>
      <c r="P77" s="146"/>
      <c r="Q77" s="143" t="s">
        <v>17</v>
      </c>
      <c r="R77" s="144" t="s">
        <v>29</v>
      </c>
      <c r="S77" s="49"/>
    </row>
    <row r="78" spans="3:19">
      <c r="C78" s="4" t="s">
        <v>110</v>
      </c>
      <c r="D78" s="68" t="s">
        <v>96</v>
      </c>
      <c r="E78" s="69" t="s">
        <v>99</v>
      </c>
      <c r="F78" s="243" t="s">
        <v>28</v>
      </c>
      <c r="G78" s="193" t="s">
        <v>28</v>
      </c>
      <c r="H78" s="198" t="s">
        <v>73</v>
      </c>
      <c r="I78" s="187">
        <v>-4</v>
      </c>
      <c r="K78" s="147" t="s">
        <v>29</v>
      </c>
      <c r="L78" s="148" t="s">
        <v>29</v>
      </c>
      <c r="M78" s="149"/>
      <c r="N78" s="147" t="s">
        <v>30</v>
      </c>
      <c r="O78" s="148"/>
      <c r="P78" s="150"/>
      <c r="Q78" s="132" t="s">
        <v>17</v>
      </c>
      <c r="R78" s="134" t="s">
        <v>29</v>
      </c>
      <c r="S78" s="50"/>
    </row>
    <row r="79" spans="3:19">
      <c r="C79" s="2" t="s">
        <v>111</v>
      </c>
      <c r="D79" s="71" t="s">
        <v>96</v>
      </c>
      <c r="E79" s="72" t="s">
        <v>99</v>
      </c>
      <c r="F79" s="233" t="s">
        <v>16</v>
      </c>
      <c r="G79" s="128" t="s">
        <v>16</v>
      </c>
      <c r="H79" s="125">
        <v>0</v>
      </c>
      <c r="I79" s="194">
        <v>0</v>
      </c>
      <c r="K79" s="136" t="s">
        <v>21</v>
      </c>
      <c r="L79" s="119"/>
      <c r="M79" s="137"/>
      <c r="N79" s="136"/>
      <c r="O79" s="119"/>
      <c r="P79" s="138"/>
      <c r="Q79" s="136"/>
      <c r="R79" s="137"/>
      <c r="S79" s="38"/>
    </row>
    <row r="80" spans="3:19">
      <c r="C80" s="2" t="s">
        <v>112</v>
      </c>
      <c r="D80" s="71" t="s">
        <v>96</v>
      </c>
      <c r="E80" s="72" t="s">
        <v>99</v>
      </c>
      <c r="F80" s="241" t="s">
        <v>28</v>
      </c>
      <c r="G80" s="1" t="s">
        <v>28</v>
      </c>
      <c r="H80" s="2">
        <v>-5</v>
      </c>
      <c r="I80" s="71">
        <v>-4</v>
      </c>
      <c r="K80" s="136"/>
      <c r="L80" s="119" t="s">
        <v>29</v>
      </c>
      <c r="M80" s="137"/>
      <c r="N80" s="136"/>
      <c r="O80" s="119" t="s">
        <v>30</v>
      </c>
      <c r="P80" s="138"/>
      <c r="Q80" s="136" t="s">
        <v>17</v>
      </c>
      <c r="R80" s="137" t="s">
        <v>29</v>
      </c>
      <c r="S80" s="38"/>
    </row>
    <row r="81" spans="2:19">
      <c r="C81" s="2" t="s">
        <v>113</v>
      </c>
      <c r="D81" s="71" t="s">
        <v>96</v>
      </c>
      <c r="E81" s="72" t="s">
        <v>99</v>
      </c>
      <c r="F81" s="241" t="s">
        <v>28</v>
      </c>
      <c r="G81" s="1" t="s">
        <v>28</v>
      </c>
      <c r="H81" s="2">
        <v>-5</v>
      </c>
      <c r="I81" s="71">
        <v>-4</v>
      </c>
      <c r="K81" s="136"/>
      <c r="L81" s="119" t="s">
        <v>29</v>
      </c>
      <c r="M81" s="137"/>
      <c r="N81" s="136"/>
      <c r="O81" s="119" t="s">
        <v>30</v>
      </c>
      <c r="P81" s="138"/>
      <c r="Q81" s="136" t="s">
        <v>17</v>
      </c>
      <c r="R81" s="137" t="s">
        <v>29</v>
      </c>
      <c r="S81" s="38"/>
    </row>
    <row r="82" spans="2:19">
      <c r="C82" s="2" t="s">
        <v>114</v>
      </c>
      <c r="D82" s="71" t="s">
        <v>96</v>
      </c>
      <c r="E82" s="72" t="s">
        <v>99</v>
      </c>
      <c r="F82" s="233" t="s">
        <v>16</v>
      </c>
      <c r="G82" s="128" t="s">
        <v>16</v>
      </c>
      <c r="H82" s="125">
        <v>0</v>
      </c>
      <c r="I82" s="194">
        <v>0</v>
      </c>
      <c r="K82" s="136" t="s">
        <v>21</v>
      </c>
      <c r="L82" s="119"/>
      <c r="M82" s="137"/>
      <c r="N82" s="136"/>
      <c r="O82" s="119"/>
      <c r="P82" s="138"/>
      <c r="Q82" s="136"/>
      <c r="R82" s="137"/>
      <c r="S82" s="38" t="s">
        <v>22</v>
      </c>
    </row>
    <row r="83" spans="2:19">
      <c r="C83" s="2" t="s">
        <v>115</v>
      </c>
      <c r="D83" s="71" t="s">
        <v>96</v>
      </c>
      <c r="E83" s="72" t="s">
        <v>99</v>
      </c>
      <c r="F83" s="241" t="s">
        <v>28</v>
      </c>
      <c r="G83" s="1" t="s">
        <v>28</v>
      </c>
      <c r="H83" s="2">
        <v>-5</v>
      </c>
      <c r="I83" s="71">
        <v>-5</v>
      </c>
      <c r="K83" s="136"/>
      <c r="L83" s="119" t="s">
        <v>29</v>
      </c>
      <c r="M83" s="137"/>
      <c r="N83" s="136"/>
      <c r="O83" s="119" t="s">
        <v>30</v>
      </c>
      <c r="P83" s="138"/>
      <c r="Q83" s="136" t="s">
        <v>17</v>
      </c>
      <c r="R83" s="137" t="s">
        <v>29</v>
      </c>
      <c r="S83" s="38"/>
    </row>
    <row r="84" spans="2:19">
      <c r="C84" s="2" t="s">
        <v>116</v>
      </c>
      <c r="D84" s="71" t="s">
        <v>96</v>
      </c>
      <c r="E84" s="72" t="s">
        <v>99</v>
      </c>
      <c r="F84" s="241" t="s">
        <v>28</v>
      </c>
      <c r="G84" s="1" t="s">
        <v>28</v>
      </c>
      <c r="H84" s="2">
        <v>-5</v>
      </c>
      <c r="I84" s="71">
        <v>-5</v>
      </c>
      <c r="K84" s="136"/>
      <c r="L84" s="119" t="s">
        <v>29</v>
      </c>
      <c r="M84" s="137"/>
      <c r="N84" s="136"/>
      <c r="O84" s="119" t="s">
        <v>30</v>
      </c>
      <c r="P84" s="138"/>
      <c r="Q84" s="136" t="s">
        <v>17</v>
      </c>
      <c r="R84" s="137" t="s">
        <v>29</v>
      </c>
      <c r="S84" s="38"/>
    </row>
    <row r="85" spans="2:19">
      <c r="C85" s="2" t="s">
        <v>117</v>
      </c>
      <c r="D85" s="71" t="s">
        <v>96</v>
      </c>
      <c r="E85" s="72" t="s">
        <v>99</v>
      </c>
      <c r="F85" s="241" t="s">
        <v>28</v>
      </c>
      <c r="G85" s="1" t="s">
        <v>28</v>
      </c>
      <c r="H85" s="2">
        <v>-5</v>
      </c>
      <c r="I85" s="71">
        <v>-5</v>
      </c>
      <c r="K85" s="136"/>
      <c r="L85" s="119" t="s">
        <v>29</v>
      </c>
      <c r="M85" s="137"/>
      <c r="N85" s="136"/>
      <c r="O85" s="119" t="s">
        <v>30</v>
      </c>
      <c r="P85" s="138"/>
      <c r="Q85" s="136" t="s">
        <v>17</v>
      </c>
      <c r="R85" s="137" t="s">
        <v>29</v>
      </c>
      <c r="S85" s="38"/>
    </row>
    <row r="86" spans="2:19">
      <c r="C86" s="2" t="s">
        <v>118</v>
      </c>
      <c r="D86" s="71" t="s">
        <v>96</v>
      </c>
      <c r="E86" s="72" t="s">
        <v>99</v>
      </c>
      <c r="F86" s="233" t="s">
        <v>16</v>
      </c>
      <c r="G86" s="128" t="s">
        <v>16</v>
      </c>
      <c r="H86" s="125">
        <v>0</v>
      </c>
      <c r="I86" s="194">
        <v>0</v>
      </c>
      <c r="K86" s="136"/>
      <c r="L86" s="119" t="s">
        <v>21</v>
      </c>
      <c r="M86" s="137"/>
      <c r="N86" s="136"/>
      <c r="O86" s="119"/>
      <c r="P86" s="138"/>
      <c r="Q86" s="136"/>
      <c r="R86" s="137"/>
      <c r="S86" s="38"/>
    </row>
    <row r="87" spans="2:19" ht="16.5" thickBot="1">
      <c r="C87" s="8" t="s">
        <v>119</v>
      </c>
      <c r="D87" s="73" t="s">
        <v>96</v>
      </c>
      <c r="E87" s="74" t="s">
        <v>99</v>
      </c>
      <c r="F87" s="242" t="s">
        <v>28</v>
      </c>
      <c r="G87" s="76" t="s">
        <v>28</v>
      </c>
      <c r="H87" s="8">
        <v>-5</v>
      </c>
      <c r="I87" s="73">
        <v>-5</v>
      </c>
      <c r="K87" s="143"/>
      <c r="L87" s="145" t="s">
        <v>29</v>
      </c>
      <c r="M87" s="144"/>
      <c r="N87" s="143"/>
      <c r="O87" s="145" t="s">
        <v>30</v>
      </c>
      <c r="P87" s="146"/>
      <c r="Q87" s="143" t="s">
        <v>17</v>
      </c>
      <c r="R87" s="144" t="s">
        <v>29</v>
      </c>
      <c r="S87" s="49"/>
    </row>
    <row r="88" spans="2:19" ht="16.5" thickBot="1"/>
    <row r="89" spans="2:19" ht="16.5" customHeight="1" thickBot="1">
      <c r="B89" s="65" t="s">
        <v>120</v>
      </c>
      <c r="D89" s="66"/>
      <c r="E89" s="79"/>
      <c r="F89" s="270" t="s">
        <v>1</v>
      </c>
      <c r="G89" s="271"/>
      <c r="H89" s="278" t="s">
        <v>2</v>
      </c>
      <c r="I89" s="279"/>
      <c r="K89" s="262" t="s">
        <v>3</v>
      </c>
      <c r="L89" s="263"/>
      <c r="M89" s="264"/>
      <c r="N89" s="262" t="s">
        <v>4</v>
      </c>
      <c r="O89" s="263"/>
      <c r="P89" s="265"/>
      <c r="Q89" s="268" t="s">
        <v>5</v>
      </c>
      <c r="R89" s="272" t="s">
        <v>6</v>
      </c>
      <c r="S89" s="274" t="s">
        <v>7</v>
      </c>
    </row>
    <row r="90" spans="2:19" ht="16.5" thickBot="1">
      <c r="C90" s="181" t="s">
        <v>8</v>
      </c>
      <c r="D90" s="182" t="s">
        <v>9</v>
      </c>
      <c r="E90" s="183" t="s">
        <v>10</v>
      </c>
      <c r="F90" s="244" t="s">
        <v>11</v>
      </c>
      <c r="G90" s="185" t="s">
        <v>12</v>
      </c>
      <c r="H90" s="163" t="s">
        <v>3</v>
      </c>
      <c r="I90" s="164" t="s">
        <v>4</v>
      </c>
      <c r="K90" s="20">
        <v>-4</v>
      </c>
      <c r="L90" s="21">
        <v>-5</v>
      </c>
      <c r="M90" s="22">
        <v>-6</v>
      </c>
      <c r="N90" s="20">
        <v>-4</v>
      </c>
      <c r="O90" s="21">
        <v>-5</v>
      </c>
      <c r="P90" s="23">
        <v>-6</v>
      </c>
      <c r="Q90" s="269"/>
      <c r="R90" s="273"/>
      <c r="S90" s="275"/>
    </row>
    <row r="91" spans="2:19">
      <c r="C91" s="4" t="s">
        <v>121</v>
      </c>
      <c r="D91" s="68" t="s">
        <v>92</v>
      </c>
      <c r="E91" s="80" t="s">
        <v>15</v>
      </c>
      <c r="F91" s="236" t="s">
        <v>16</v>
      </c>
      <c r="G91" s="175" t="s">
        <v>16</v>
      </c>
      <c r="H91" s="195">
        <v>0</v>
      </c>
      <c r="I91" s="196">
        <v>0</v>
      </c>
      <c r="K91" s="132"/>
      <c r="L91" s="133" t="s">
        <v>108</v>
      </c>
      <c r="M91" s="134"/>
      <c r="N91" s="132" t="s">
        <v>30</v>
      </c>
      <c r="O91" s="133" t="s">
        <v>30</v>
      </c>
      <c r="P91" s="135"/>
      <c r="Q91" s="132"/>
      <c r="R91" s="134"/>
      <c r="S91" s="31" t="s">
        <v>122</v>
      </c>
    </row>
    <row r="92" spans="2:19">
      <c r="C92" s="2" t="s">
        <v>123</v>
      </c>
      <c r="D92" s="71" t="s">
        <v>92</v>
      </c>
      <c r="E92" s="81" t="s">
        <v>15</v>
      </c>
      <c r="F92" s="233" t="s">
        <v>16</v>
      </c>
      <c r="G92" s="128" t="s">
        <v>16</v>
      </c>
      <c r="H92" s="125">
        <v>0</v>
      </c>
      <c r="I92" s="194">
        <v>0</v>
      </c>
      <c r="K92" s="136"/>
      <c r="L92" s="119" t="s">
        <v>108</v>
      </c>
      <c r="M92" s="137"/>
      <c r="N92" s="136" t="s">
        <v>30</v>
      </c>
      <c r="O92" s="119"/>
      <c r="P92" s="138"/>
      <c r="Q92" s="136"/>
      <c r="R92" s="137"/>
      <c r="S92" s="38" t="s">
        <v>122</v>
      </c>
    </row>
    <row r="93" spans="2:19">
      <c r="C93" s="2" t="s">
        <v>124</v>
      </c>
      <c r="D93" s="71" t="s">
        <v>92</v>
      </c>
      <c r="E93" s="81" t="s">
        <v>15</v>
      </c>
      <c r="F93" s="233" t="s">
        <v>16</v>
      </c>
      <c r="G93" s="128" t="s">
        <v>16</v>
      </c>
      <c r="H93" s="125">
        <v>0</v>
      </c>
      <c r="I93" s="194">
        <v>0</v>
      </c>
      <c r="K93" s="136"/>
      <c r="L93" s="119" t="s">
        <v>108</v>
      </c>
      <c r="M93" s="137"/>
      <c r="N93" s="136" t="s">
        <v>30</v>
      </c>
      <c r="O93" s="119"/>
      <c r="P93" s="138"/>
      <c r="Q93" s="136"/>
      <c r="R93" s="137"/>
      <c r="S93" s="38" t="s">
        <v>122</v>
      </c>
    </row>
    <row r="94" spans="2:19">
      <c r="C94" s="2" t="s">
        <v>125</v>
      </c>
      <c r="D94" s="71" t="s">
        <v>96</v>
      </c>
      <c r="E94" s="81" t="s">
        <v>15</v>
      </c>
      <c r="F94" s="233" t="s">
        <v>16</v>
      </c>
      <c r="G94" s="128" t="s">
        <v>16</v>
      </c>
      <c r="H94" s="125">
        <v>0</v>
      </c>
      <c r="I94" s="194">
        <v>0</v>
      </c>
      <c r="K94" s="136"/>
      <c r="L94" s="119" t="s">
        <v>21</v>
      </c>
      <c r="M94" s="137"/>
      <c r="N94" s="136"/>
      <c r="O94" s="119"/>
      <c r="P94" s="138"/>
      <c r="Q94" s="136"/>
      <c r="R94" s="137"/>
      <c r="S94" s="38" t="s">
        <v>22</v>
      </c>
    </row>
    <row r="95" spans="2:19" ht="16.5" thickBot="1">
      <c r="C95" s="8" t="s">
        <v>126</v>
      </c>
      <c r="D95" s="73" t="s">
        <v>96</v>
      </c>
      <c r="E95" s="82" t="s">
        <v>15</v>
      </c>
      <c r="F95" s="233" t="s">
        <v>16</v>
      </c>
      <c r="G95" s="128" t="s">
        <v>16</v>
      </c>
      <c r="H95" s="127">
        <v>0</v>
      </c>
      <c r="I95" s="197">
        <v>0</v>
      </c>
      <c r="K95" s="139"/>
      <c r="L95" s="140" t="s">
        <v>21</v>
      </c>
      <c r="M95" s="141"/>
      <c r="N95" s="139"/>
      <c r="O95" s="140"/>
      <c r="P95" s="142"/>
      <c r="Q95" s="143"/>
      <c r="R95" s="144"/>
      <c r="S95" s="46" t="s">
        <v>22</v>
      </c>
    </row>
    <row r="96" spans="2:19">
      <c r="C96" s="4" t="s">
        <v>127</v>
      </c>
      <c r="D96" s="68" t="s">
        <v>92</v>
      </c>
      <c r="E96" s="80" t="s">
        <v>128</v>
      </c>
      <c r="F96" s="240" t="s">
        <v>28</v>
      </c>
      <c r="G96" s="67" t="s">
        <v>28</v>
      </c>
      <c r="H96" s="4">
        <v>-5</v>
      </c>
      <c r="I96" s="68">
        <v>-5</v>
      </c>
      <c r="K96" s="132"/>
      <c r="L96" s="133" t="s">
        <v>29</v>
      </c>
      <c r="M96" s="134"/>
      <c r="N96" s="132"/>
      <c r="O96" s="133" t="s">
        <v>30</v>
      </c>
      <c r="P96" s="135"/>
      <c r="Q96" s="132" t="s">
        <v>17</v>
      </c>
      <c r="R96" s="134">
        <v>1</v>
      </c>
      <c r="S96" s="31"/>
    </row>
    <row r="97" spans="3:19">
      <c r="C97" s="2" t="s">
        <v>129</v>
      </c>
      <c r="D97" s="71" t="s">
        <v>92</v>
      </c>
      <c r="E97" s="81" t="s">
        <v>128</v>
      </c>
      <c r="F97" s="241" t="s">
        <v>28</v>
      </c>
      <c r="G97" s="1" t="s">
        <v>28</v>
      </c>
      <c r="H97" s="2">
        <v>-5</v>
      </c>
      <c r="I97" s="71">
        <v>-5</v>
      </c>
      <c r="K97" s="136"/>
      <c r="L97" s="119" t="s">
        <v>29</v>
      </c>
      <c r="M97" s="137"/>
      <c r="N97" s="136"/>
      <c r="O97" s="119" t="s">
        <v>30</v>
      </c>
      <c r="P97" s="138"/>
      <c r="Q97" s="136" t="s">
        <v>17</v>
      </c>
      <c r="R97" s="137">
        <v>1</v>
      </c>
      <c r="S97" s="38"/>
    </row>
    <row r="98" spans="3:19">
      <c r="C98" s="2" t="s">
        <v>130</v>
      </c>
      <c r="D98" s="71" t="s">
        <v>92</v>
      </c>
      <c r="E98" s="81" t="s">
        <v>128</v>
      </c>
      <c r="F98" s="241" t="s">
        <v>28</v>
      </c>
      <c r="G98" s="1" t="s">
        <v>28</v>
      </c>
      <c r="H98" s="2">
        <v>-5</v>
      </c>
      <c r="I98" s="71">
        <v>-5</v>
      </c>
      <c r="K98" s="136"/>
      <c r="L98" s="119" t="s">
        <v>29</v>
      </c>
      <c r="M98" s="137"/>
      <c r="N98" s="136"/>
      <c r="O98" s="119" t="s">
        <v>30</v>
      </c>
      <c r="P98" s="138"/>
      <c r="Q98" s="136" t="s">
        <v>17</v>
      </c>
      <c r="R98" s="137">
        <v>1</v>
      </c>
      <c r="S98" s="38"/>
    </row>
    <row r="99" spans="3:19">
      <c r="C99" s="2" t="s">
        <v>131</v>
      </c>
      <c r="D99" s="71" t="s">
        <v>92</v>
      </c>
      <c r="E99" s="81" t="s">
        <v>128</v>
      </c>
      <c r="F99" s="241" t="s">
        <v>28</v>
      </c>
      <c r="G99" s="1" t="s">
        <v>28</v>
      </c>
      <c r="H99" s="2">
        <v>-5</v>
      </c>
      <c r="I99" s="71">
        <v>-5</v>
      </c>
      <c r="K99" s="136"/>
      <c r="L99" s="119" t="s">
        <v>29</v>
      </c>
      <c r="M99" s="137"/>
      <c r="N99" s="136"/>
      <c r="O99" s="119" t="s">
        <v>30</v>
      </c>
      <c r="P99" s="138"/>
      <c r="Q99" s="136" t="s">
        <v>17</v>
      </c>
      <c r="R99" s="137">
        <v>1</v>
      </c>
      <c r="S99" s="38"/>
    </row>
    <row r="100" spans="3:19">
      <c r="C100" s="2" t="s">
        <v>132</v>
      </c>
      <c r="D100" s="71" t="s">
        <v>92</v>
      </c>
      <c r="E100" s="81" t="s">
        <v>128</v>
      </c>
      <c r="F100" s="241" t="s">
        <v>28</v>
      </c>
      <c r="G100" s="1" t="s">
        <v>28</v>
      </c>
      <c r="H100" s="2">
        <v>-5</v>
      </c>
      <c r="I100" s="71">
        <v>-5</v>
      </c>
      <c r="K100" s="136"/>
      <c r="L100" s="119" t="s">
        <v>29</v>
      </c>
      <c r="M100" s="137"/>
      <c r="N100" s="136"/>
      <c r="O100" s="119" t="s">
        <v>30</v>
      </c>
      <c r="P100" s="138"/>
      <c r="Q100" s="136" t="s">
        <v>17</v>
      </c>
      <c r="R100" s="137">
        <v>1</v>
      </c>
      <c r="S100" s="38"/>
    </row>
    <row r="101" spans="3:19">
      <c r="C101" s="2" t="s">
        <v>133</v>
      </c>
      <c r="D101" s="71" t="s">
        <v>92</v>
      </c>
      <c r="E101" s="81" t="s">
        <v>128</v>
      </c>
      <c r="F101" s="241" t="s">
        <v>28</v>
      </c>
      <c r="G101" s="1" t="s">
        <v>28</v>
      </c>
      <c r="H101" s="2">
        <v>-5</v>
      </c>
      <c r="I101" s="71">
        <v>-5</v>
      </c>
      <c r="K101" s="136"/>
      <c r="L101" s="119" t="s">
        <v>29</v>
      </c>
      <c r="M101" s="137"/>
      <c r="N101" s="136"/>
      <c r="O101" s="119" t="s">
        <v>30</v>
      </c>
      <c r="P101" s="138"/>
      <c r="Q101" s="136" t="s">
        <v>17</v>
      </c>
      <c r="R101" s="137">
        <v>1</v>
      </c>
      <c r="S101" s="38"/>
    </row>
    <row r="102" spans="3:19">
      <c r="C102" s="2" t="s">
        <v>134</v>
      </c>
      <c r="D102" s="71" t="s">
        <v>92</v>
      </c>
      <c r="E102" s="81" t="s">
        <v>128</v>
      </c>
      <c r="F102" s="241" t="s">
        <v>28</v>
      </c>
      <c r="G102" s="1" t="s">
        <v>28</v>
      </c>
      <c r="H102" s="2">
        <v>-5</v>
      </c>
      <c r="I102" s="71">
        <v>-6</v>
      </c>
      <c r="K102" s="136"/>
      <c r="L102" s="119" t="s">
        <v>29</v>
      </c>
      <c r="M102" s="137"/>
      <c r="N102" s="136"/>
      <c r="O102" s="119"/>
      <c r="P102" s="138" t="s">
        <v>30</v>
      </c>
      <c r="Q102" s="136" t="s">
        <v>17</v>
      </c>
      <c r="R102" s="137">
        <v>1</v>
      </c>
      <c r="S102" s="38"/>
    </row>
    <row r="103" spans="3:19">
      <c r="C103" s="2" t="s">
        <v>135</v>
      </c>
      <c r="D103" s="71" t="s">
        <v>92</v>
      </c>
      <c r="E103" s="81" t="s">
        <v>128</v>
      </c>
      <c r="F103" s="241" t="s">
        <v>28</v>
      </c>
      <c r="G103" s="1" t="s">
        <v>28</v>
      </c>
      <c r="H103" s="2">
        <v>-5</v>
      </c>
      <c r="I103" s="71">
        <v>-5</v>
      </c>
      <c r="K103" s="136"/>
      <c r="L103" s="119" t="s">
        <v>29</v>
      </c>
      <c r="M103" s="137"/>
      <c r="N103" s="136"/>
      <c r="O103" s="119" t="s">
        <v>30</v>
      </c>
      <c r="P103" s="138"/>
      <c r="Q103" s="136" t="s">
        <v>17</v>
      </c>
      <c r="R103" s="137">
        <v>1</v>
      </c>
      <c r="S103" s="38"/>
    </row>
    <row r="104" spans="3:19">
      <c r="C104" s="2" t="s">
        <v>136</v>
      </c>
      <c r="D104" s="71" t="s">
        <v>92</v>
      </c>
      <c r="E104" s="81" t="s">
        <v>128</v>
      </c>
      <c r="F104" s="241" t="s">
        <v>28</v>
      </c>
      <c r="G104" s="1" t="s">
        <v>28</v>
      </c>
      <c r="H104" s="2">
        <v>-5</v>
      </c>
      <c r="I104" s="71">
        <v>-4</v>
      </c>
      <c r="K104" s="136"/>
      <c r="L104" s="119" t="s">
        <v>29</v>
      </c>
      <c r="M104" s="137"/>
      <c r="N104" s="136" t="s">
        <v>30</v>
      </c>
      <c r="O104" s="119"/>
      <c r="P104" s="138"/>
      <c r="Q104" s="136" t="s">
        <v>17</v>
      </c>
      <c r="R104" s="137">
        <v>1</v>
      </c>
      <c r="S104" s="38"/>
    </row>
    <row r="105" spans="3:19" ht="16.5" thickBot="1">
      <c r="C105" s="8" t="s">
        <v>137</v>
      </c>
      <c r="D105" s="73" t="s">
        <v>92</v>
      </c>
      <c r="E105" s="83" t="s">
        <v>128</v>
      </c>
      <c r="F105" s="242" t="s">
        <v>28</v>
      </c>
      <c r="G105" s="76" t="s">
        <v>28</v>
      </c>
      <c r="H105" s="8">
        <v>-6</v>
      </c>
      <c r="I105" s="73">
        <v>-5</v>
      </c>
      <c r="K105" s="143"/>
      <c r="L105" s="145"/>
      <c r="M105" s="144" t="s">
        <v>29</v>
      </c>
      <c r="N105" s="143"/>
      <c r="O105" s="145" t="s">
        <v>30</v>
      </c>
      <c r="P105" s="146"/>
      <c r="Q105" s="143" t="s">
        <v>17</v>
      </c>
      <c r="R105" s="144">
        <v>1</v>
      </c>
      <c r="S105" s="49"/>
    </row>
    <row r="106" spans="3:19">
      <c r="C106" s="4" t="s">
        <v>138</v>
      </c>
      <c r="D106" s="68" t="s">
        <v>96</v>
      </c>
      <c r="E106" s="80" t="s">
        <v>128</v>
      </c>
      <c r="F106" s="240" t="s">
        <v>28</v>
      </c>
      <c r="G106" s="67" t="s">
        <v>28</v>
      </c>
      <c r="H106" s="70">
        <v>-5</v>
      </c>
      <c r="I106" s="187">
        <v>-5</v>
      </c>
      <c r="K106" s="147"/>
      <c r="L106" s="148" t="s">
        <v>29</v>
      </c>
      <c r="M106" s="149"/>
      <c r="N106" s="147"/>
      <c r="O106" s="148" t="s">
        <v>30</v>
      </c>
      <c r="P106" s="150"/>
      <c r="Q106" s="132" t="s">
        <v>17</v>
      </c>
      <c r="R106" s="134">
        <v>1</v>
      </c>
      <c r="S106" s="50"/>
    </row>
    <row r="107" spans="3:19">
      <c r="C107" s="2" t="s">
        <v>139</v>
      </c>
      <c r="D107" s="71" t="s">
        <v>96</v>
      </c>
      <c r="E107" s="81" t="s">
        <v>128</v>
      </c>
      <c r="F107" s="241" t="s">
        <v>28</v>
      </c>
      <c r="G107" s="1" t="s">
        <v>28</v>
      </c>
      <c r="H107" s="2">
        <v>-5</v>
      </c>
      <c r="I107" s="71">
        <v>-5</v>
      </c>
      <c r="K107" s="136"/>
      <c r="L107" s="119" t="s">
        <v>29</v>
      </c>
      <c r="M107" s="137"/>
      <c r="N107" s="136"/>
      <c r="O107" s="119" t="s">
        <v>30</v>
      </c>
      <c r="P107" s="138"/>
      <c r="Q107" s="136" t="s">
        <v>17</v>
      </c>
      <c r="R107" s="137">
        <v>1</v>
      </c>
      <c r="S107" s="38"/>
    </row>
    <row r="108" spans="3:19">
      <c r="C108" s="2" t="s">
        <v>140</v>
      </c>
      <c r="D108" s="71" t="s">
        <v>96</v>
      </c>
      <c r="E108" s="81" t="s">
        <v>128</v>
      </c>
      <c r="F108" s="241" t="s">
        <v>28</v>
      </c>
      <c r="G108" s="1" t="s">
        <v>28</v>
      </c>
      <c r="H108" s="2">
        <v>-5</v>
      </c>
      <c r="I108" s="71">
        <v>-5</v>
      </c>
      <c r="K108" s="136"/>
      <c r="L108" s="119" t="s">
        <v>29</v>
      </c>
      <c r="M108" s="137"/>
      <c r="N108" s="136"/>
      <c r="O108" s="119" t="s">
        <v>30</v>
      </c>
      <c r="P108" s="138"/>
      <c r="Q108" s="136" t="s">
        <v>17</v>
      </c>
      <c r="R108" s="137">
        <v>1</v>
      </c>
      <c r="S108" s="38"/>
    </row>
    <row r="109" spans="3:19">
      <c r="C109" s="2" t="s">
        <v>141</v>
      </c>
      <c r="D109" s="71" t="s">
        <v>96</v>
      </c>
      <c r="E109" s="81" t="s">
        <v>128</v>
      </c>
      <c r="F109" s="241" t="s">
        <v>28</v>
      </c>
      <c r="G109" s="1" t="s">
        <v>28</v>
      </c>
      <c r="H109" s="2">
        <v>-5</v>
      </c>
      <c r="I109" s="71">
        <v>-5</v>
      </c>
      <c r="K109" s="136"/>
      <c r="L109" s="119" t="s">
        <v>29</v>
      </c>
      <c r="M109" s="137"/>
      <c r="N109" s="136"/>
      <c r="O109" s="119" t="s">
        <v>30</v>
      </c>
      <c r="P109" s="138"/>
      <c r="Q109" s="136" t="s">
        <v>17</v>
      </c>
      <c r="R109" s="137">
        <v>1</v>
      </c>
      <c r="S109" s="38"/>
    </row>
    <row r="110" spans="3:19">
      <c r="C110" s="2" t="s">
        <v>142</v>
      </c>
      <c r="D110" s="71" t="s">
        <v>96</v>
      </c>
      <c r="E110" s="81" t="s">
        <v>128</v>
      </c>
      <c r="F110" s="241" t="s">
        <v>28</v>
      </c>
      <c r="G110" s="1" t="s">
        <v>28</v>
      </c>
      <c r="H110" s="2">
        <v>-5</v>
      </c>
      <c r="I110" s="71">
        <v>-5</v>
      </c>
      <c r="K110" s="136"/>
      <c r="L110" s="119" t="s">
        <v>29</v>
      </c>
      <c r="M110" s="137"/>
      <c r="N110" s="136"/>
      <c r="O110" s="119" t="s">
        <v>30</v>
      </c>
      <c r="P110" s="138"/>
      <c r="Q110" s="136" t="s">
        <v>17</v>
      </c>
      <c r="R110" s="137">
        <v>1</v>
      </c>
      <c r="S110" s="38"/>
    </row>
    <row r="111" spans="3:19">
      <c r="C111" s="2" t="s">
        <v>143</v>
      </c>
      <c r="D111" s="71" t="s">
        <v>96</v>
      </c>
      <c r="E111" s="81" t="s">
        <v>128</v>
      </c>
      <c r="F111" s="241" t="s">
        <v>28</v>
      </c>
      <c r="G111" s="1" t="s">
        <v>28</v>
      </c>
      <c r="H111" s="2">
        <v>-4</v>
      </c>
      <c r="I111" s="71">
        <v>-4</v>
      </c>
      <c r="K111" s="136" t="s">
        <v>29</v>
      </c>
      <c r="L111" s="119"/>
      <c r="M111" s="137"/>
      <c r="N111" s="136" t="s">
        <v>30</v>
      </c>
      <c r="O111" s="119"/>
      <c r="P111" s="138"/>
      <c r="Q111" s="136" t="s">
        <v>17</v>
      </c>
      <c r="R111" s="137">
        <v>1</v>
      </c>
      <c r="S111" s="38"/>
    </row>
    <row r="112" spans="3:19">
      <c r="C112" s="2" t="s">
        <v>144</v>
      </c>
      <c r="D112" s="71" t="s">
        <v>96</v>
      </c>
      <c r="E112" s="81" t="s">
        <v>128</v>
      </c>
      <c r="F112" s="241" t="s">
        <v>28</v>
      </c>
      <c r="G112" s="1" t="s">
        <v>28</v>
      </c>
      <c r="H112" s="2">
        <v>-5</v>
      </c>
      <c r="I112" s="71">
        <v>-5</v>
      </c>
      <c r="K112" s="136"/>
      <c r="L112" s="119" t="s">
        <v>29</v>
      </c>
      <c r="M112" s="137"/>
      <c r="N112" s="136"/>
      <c r="O112" s="119" t="s">
        <v>30</v>
      </c>
      <c r="P112" s="138"/>
      <c r="Q112" s="136" t="s">
        <v>17</v>
      </c>
      <c r="R112" s="137">
        <v>1</v>
      </c>
      <c r="S112" s="38"/>
    </row>
    <row r="113" spans="2:19">
      <c r="C113" s="2" t="s">
        <v>145</v>
      </c>
      <c r="D113" s="71" t="s">
        <v>96</v>
      </c>
      <c r="E113" s="81" t="s">
        <v>128</v>
      </c>
      <c r="F113" s="241" t="s">
        <v>28</v>
      </c>
      <c r="G113" s="1" t="s">
        <v>28</v>
      </c>
      <c r="H113" s="2">
        <v>-5</v>
      </c>
      <c r="I113" s="71">
        <v>-5</v>
      </c>
      <c r="K113" s="136"/>
      <c r="L113" s="119" t="s">
        <v>29</v>
      </c>
      <c r="M113" s="137"/>
      <c r="N113" s="136"/>
      <c r="O113" s="119" t="s">
        <v>30</v>
      </c>
      <c r="P113" s="138"/>
      <c r="Q113" s="136" t="s">
        <v>17</v>
      </c>
      <c r="R113" s="137">
        <v>1</v>
      </c>
      <c r="S113" s="38"/>
    </row>
    <row r="114" spans="2:19">
      <c r="C114" s="2" t="s">
        <v>146</v>
      </c>
      <c r="D114" s="71" t="s">
        <v>96</v>
      </c>
      <c r="E114" s="81" t="s">
        <v>128</v>
      </c>
      <c r="F114" s="241" t="s">
        <v>28</v>
      </c>
      <c r="G114" s="1" t="s">
        <v>28</v>
      </c>
      <c r="H114" s="2">
        <v>-5</v>
      </c>
      <c r="I114" s="71">
        <v>-5</v>
      </c>
      <c r="K114" s="136"/>
      <c r="L114" s="119" t="s">
        <v>29</v>
      </c>
      <c r="M114" s="137"/>
      <c r="N114" s="136"/>
      <c r="O114" s="119" t="s">
        <v>30</v>
      </c>
      <c r="P114" s="138"/>
      <c r="Q114" s="136" t="s">
        <v>17</v>
      </c>
      <c r="R114" s="137">
        <v>1</v>
      </c>
      <c r="S114" s="38"/>
    </row>
    <row r="115" spans="2:19" ht="16.5" thickBot="1">
      <c r="C115" s="8" t="s">
        <v>147</v>
      </c>
      <c r="D115" s="73" t="s">
        <v>96</v>
      </c>
      <c r="E115" s="82" t="s">
        <v>128</v>
      </c>
      <c r="F115" s="242" t="s">
        <v>28</v>
      </c>
      <c r="G115" s="76" t="s">
        <v>28</v>
      </c>
      <c r="H115" s="8">
        <v>-5</v>
      </c>
      <c r="I115" s="73">
        <v>-5</v>
      </c>
      <c r="K115" s="143"/>
      <c r="L115" s="145" t="s">
        <v>29</v>
      </c>
      <c r="M115" s="144"/>
      <c r="N115" s="143"/>
      <c r="O115" s="145" t="s">
        <v>30</v>
      </c>
      <c r="P115" s="146"/>
      <c r="Q115" s="143" t="s">
        <v>17</v>
      </c>
      <c r="R115" s="144">
        <v>1</v>
      </c>
      <c r="S115" s="49"/>
    </row>
    <row r="116" spans="2:19" ht="16.5" thickBot="1"/>
    <row r="117" spans="2:19" ht="16.5" customHeight="1" thickBot="1">
      <c r="B117" s="65" t="s">
        <v>148</v>
      </c>
      <c r="D117" s="66"/>
      <c r="E117" s="66"/>
      <c r="F117" s="260" t="s">
        <v>1</v>
      </c>
      <c r="G117" s="261"/>
      <c r="H117" s="278" t="s">
        <v>2</v>
      </c>
      <c r="I117" s="279"/>
      <c r="K117" s="262" t="s">
        <v>3</v>
      </c>
      <c r="L117" s="263"/>
      <c r="M117" s="264"/>
      <c r="N117" s="262" t="s">
        <v>4</v>
      </c>
      <c r="O117" s="263"/>
      <c r="P117" s="265"/>
      <c r="Q117" s="268" t="s">
        <v>5</v>
      </c>
      <c r="R117" s="272" t="s">
        <v>6</v>
      </c>
      <c r="S117" s="274" t="s">
        <v>7</v>
      </c>
    </row>
    <row r="118" spans="2:19" ht="16.5" thickBot="1">
      <c r="C118" s="190" t="s">
        <v>8</v>
      </c>
      <c r="D118" s="191" t="s">
        <v>9</v>
      </c>
      <c r="E118" s="183" t="s">
        <v>10</v>
      </c>
      <c r="F118" s="244" t="s">
        <v>11</v>
      </c>
      <c r="G118" s="185" t="s">
        <v>12</v>
      </c>
      <c r="H118" s="179" t="s">
        <v>3</v>
      </c>
      <c r="I118" s="164" t="s">
        <v>4</v>
      </c>
      <c r="K118" s="20">
        <v>-4</v>
      </c>
      <c r="L118" s="21">
        <v>-5</v>
      </c>
      <c r="M118" s="22">
        <v>-6</v>
      </c>
      <c r="N118" s="20">
        <v>-4</v>
      </c>
      <c r="O118" s="21">
        <v>-5</v>
      </c>
      <c r="P118" s="23">
        <v>-6</v>
      </c>
      <c r="Q118" s="269"/>
      <c r="R118" s="273"/>
      <c r="S118" s="275"/>
    </row>
    <row r="119" spans="2:19">
      <c r="C119" s="4" t="s">
        <v>149</v>
      </c>
      <c r="D119" s="84" t="s">
        <v>150</v>
      </c>
      <c r="E119" s="85" t="s">
        <v>15</v>
      </c>
      <c r="F119" s="236" t="s">
        <v>16</v>
      </c>
      <c r="G119" s="175" t="s">
        <v>16</v>
      </c>
      <c r="H119" s="189">
        <v>0</v>
      </c>
      <c r="I119" s="189">
        <v>0</v>
      </c>
      <c r="K119" s="132"/>
      <c r="L119" s="133"/>
      <c r="M119" s="134"/>
      <c r="N119" s="132"/>
      <c r="O119" s="133"/>
      <c r="P119" s="135"/>
      <c r="Q119" s="132"/>
      <c r="R119" s="134"/>
      <c r="S119" s="31" t="s">
        <v>151</v>
      </c>
    </row>
    <row r="120" spans="2:19">
      <c r="C120" s="2" t="s">
        <v>152</v>
      </c>
      <c r="D120" s="86" t="s">
        <v>150</v>
      </c>
      <c r="E120" s="87" t="s">
        <v>15</v>
      </c>
      <c r="F120" s="233" t="s">
        <v>16</v>
      </c>
      <c r="G120" s="128" t="s">
        <v>16</v>
      </c>
      <c r="H120" s="120">
        <v>0</v>
      </c>
      <c r="I120" s="120">
        <v>0</v>
      </c>
      <c r="K120" s="136"/>
      <c r="L120" s="119"/>
      <c r="M120" s="137"/>
      <c r="N120" s="136"/>
      <c r="O120" s="119"/>
      <c r="P120" s="138"/>
      <c r="Q120" s="136"/>
      <c r="R120" s="137"/>
      <c r="S120" s="38" t="s">
        <v>151</v>
      </c>
    </row>
    <row r="121" spans="2:19">
      <c r="C121" s="2" t="s">
        <v>153</v>
      </c>
      <c r="D121" s="86" t="s">
        <v>150</v>
      </c>
      <c r="E121" s="87" t="s">
        <v>15</v>
      </c>
      <c r="F121" s="233" t="s">
        <v>16</v>
      </c>
      <c r="G121" s="128" t="s">
        <v>16</v>
      </c>
      <c r="H121" s="120">
        <v>0</v>
      </c>
      <c r="I121" s="120">
        <v>0</v>
      </c>
      <c r="K121" s="136"/>
      <c r="L121" s="119"/>
      <c r="M121" s="137"/>
      <c r="N121" s="136"/>
      <c r="O121" s="119"/>
      <c r="P121" s="138"/>
      <c r="Q121" s="136"/>
      <c r="R121" s="137"/>
      <c r="S121" s="38" t="s">
        <v>151</v>
      </c>
    </row>
    <row r="122" spans="2:19">
      <c r="C122" s="2" t="s">
        <v>154</v>
      </c>
      <c r="D122" s="86" t="s">
        <v>155</v>
      </c>
      <c r="E122" s="87" t="s">
        <v>15</v>
      </c>
      <c r="F122" s="233" t="s">
        <v>16</v>
      </c>
      <c r="G122" s="128" t="s">
        <v>16</v>
      </c>
      <c r="H122" s="120">
        <v>0</v>
      </c>
      <c r="I122" s="120">
        <v>0</v>
      </c>
      <c r="K122" s="136"/>
      <c r="L122" s="119"/>
      <c r="M122" s="137"/>
      <c r="N122" s="136"/>
      <c r="O122" s="119"/>
      <c r="P122" s="138"/>
      <c r="Q122" s="136"/>
      <c r="R122" s="137"/>
      <c r="S122" s="38" t="s">
        <v>151</v>
      </c>
    </row>
    <row r="123" spans="2:19" ht="16.5" thickBot="1">
      <c r="C123" s="8" t="s">
        <v>156</v>
      </c>
      <c r="D123" s="88" t="s">
        <v>155</v>
      </c>
      <c r="E123" s="89" t="s">
        <v>15</v>
      </c>
      <c r="F123" s="233" t="s">
        <v>16</v>
      </c>
      <c r="G123" s="128" t="s">
        <v>16</v>
      </c>
      <c r="H123" s="192">
        <v>0</v>
      </c>
      <c r="I123" s="192">
        <v>0</v>
      </c>
      <c r="K123" s="139"/>
      <c r="L123" s="140"/>
      <c r="M123" s="141"/>
      <c r="N123" s="139"/>
      <c r="O123" s="140"/>
      <c r="P123" s="142"/>
      <c r="Q123" s="143"/>
      <c r="R123" s="144"/>
      <c r="S123" s="46" t="s">
        <v>151</v>
      </c>
    </row>
    <row r="124" spans="2:19">
      <c r="C124" s="4" t="s">
        <v>157</v>
      </c>
      <c r="D124" s="84" t="s">
        <v>150</v>
      </c>
      <c r="E124" s="85" t="s">
        <v>158</v>
      </c>
      <c r="F124" s="240" t="s">
        <v>28</v>
      </c>
      <c r="G124" s="67" t="s">
        <v>28</v>
      </c>
      <c r="H124" s="199" t="s">
        <v>73</v>
      </c>
      <c r="I124" s="68">
        <v>0</v>
      </c>
      <c r="K124" s="132" t="s">
        <v>29</v>
      </c>
      <c r="L124" s="133" t="s">
        <v>30</v>
      </c>
      <c r="M124" s="134"/>
      <c r="N124" s="132"/>
      <c r="O124" s="133"/>
      <c r="P124" s="135"/>
      <c r="Q124" s="132" t="s">
        <v>17</v>
      </c>
      <c r="R124" s="134" t="s">
        <v>29</v>
      </c>
      <c r="S124" s="31" t="s">
        <v>22</v>
      </c>
    </row>
    <row r="125" spans="2:19">
      <c r="C125" s="2" t="s">
        <v>159</v>
      </c>
      <c r="D125" s="86" t="s">
        <v>150</v>
      </c>
      <c r="E125" s="87" t="s">
        <v>158</v>
      </c>
      <c r="F125" s="241" t="s">
        <v>28</v>
      </c>
      <c r="G125" s="1" t="s">
        <v>28</v>
      </c>
      <c r="H125" s="2">
        <v>-5</v>
      </c>
      <c r="I125" s="71">
        <v>0</v>
      </c>
      <c r="K125" s="136"/>
      <c r="L125" s="119" t="s">
        <v>17</v>
      </c>
      <c r="M125" s="137"/>
      <c r="N125" s="136"/>
      <c r="O125" s="119"/>
      <c r="P125" s="138"/>
      <c r="Q125" s="136" t="s">
        <v>17</v>
      </c>
      <c r="R125" s="137" t="s">
        <v>29</v>
      </c>
      <c r="S125" s="38" t="s">
        <v>22</v>
      </c>
    </row>
    <row r="126" spans="2:19">
      <c r="C126" s="2" t="s">
        <v>160</v>
      </c>
      <c r="D126" s="86" t="s">
        <v>150</v>
      </c>
      <c r="E126" s="87" t="s">
        <v>158</v>
      </c>
      <c r="F126" s="241" t="s">
        <v>28</v>
      </c>
      <c r="G126" s="1" t="s">
        <v>28</v>
      </c>
      <c r="H126" s="2">
        <v>-5</v>
      </c>
      <c r="I126" s="71">
        <v>0</v>
      </c>
      <c r="K126" s="136"/>
      <c r="L126" s="119" t="s">
        <v>17</v>
      </c>
      <c r="M126" s="137"/>
      <c r="N126" s="136"/>
      <c r="O126" s="119"/>
      <c r="P126" s="138"/>
      <c r="Q126" s="136" t="s">
        <v>17</v>
      </c>
      <c r="R126" s="137" t="s">
        <v>29</v>
      </c>
      <c r="S126" s="38" t="s">
        <v>22</v>
      </c>
    </row>
    <row r="127" spans="2:19">
      <c r="C127" s="2" t="s">
        <v>161</v>
      </c>
      <c r="D127" s="86" t="s">
        <v>150</v>
      </c>
      <c r="E127" s="87" t="s">
        <v>158</v>
      </c>
      <c r="F127" s="241" t="s">
        <v>28</v>
      </c>
      <c r="G127" s="1" t="s">
        <v>28</v>
      </c>
      <c r="H127" s="2">
        <v>-5</v>
      </c>
      <c r="I127" s="71">
        <v>0</v>
      </c>
      <c r="K127" s="136"/>
      <c r="L127" s="119" t="s">
        <v>17</v>
      </c>
      <c r="M127" s="137"/>
      <c r="N127" s="136"/>
      <c r="O127" s="119"/>
      <c r="P127" s="138"/>
      <c r="Q127" s="136" t="s">
        <v>17</v>
      </c>
      <c r="R127" s="137" t="s">
        <v>29</v>
      </c>
      <c r="S127" s="38" t="s">
        <v>22</v>
      </c>
    </row>
    <row r="128" spans="2:19">
      <c r="C128" s="2" t="s">
        <v>162</v>
      </c>
      <c r="D128" s="86" t="s">
        <v>150</v>
      </c>
      <c r="E128" s="87" t="s">
        <v>158</v>
      </c>
      <c r="F128" s="241" t="s">
        <v>28</v>
      </c>
      <c r="G128" s="1" t="s">
        <v>28</v>
      </c>
      <c r="H128" s="2">
        <v>-5</v>
      </c>
      <c r="I128" s="71">
        <v>0</v>
      </c>
      <c r="K128" s="136"/>
      <c r="L128" s="119" t="s">
        <v>17</v>
      </c>
      <c r="M128" s="137"/>
      <c r="N128" s="136"/>
      <c r="O128" s="119"/>
      <c r="P128" s="138"/>
      <c r="Q128" s="136" t="s">
        <v>17</v>
      </c>
      <c r="R128" s="137" t="s">
        <v>29</v>
      </c>
      <c r="S128" s="38" t="s">
        <v>22</v>
      </c>
    </row>
    <row r="129" spans="3:19">
      <c r="C129" s="70" t="s">
        <v>163</v>
      </c>
      <c r="D129" s="86" t="s">
        <v>150</v>
      </c>
      <c r="E129" s="87" t="s">
        <v>158</v>
      </c>
      <c r="F129" s="233" t="s">
        <v>16</v>
      </c>
      <c r="G129" s="128" t="s">
        <v>16</v>
      </c>
      <c r="H129" s="125">
        <v>0</v>
      </c>
      <c r="I129" s="194">
        <v>0</v>
      </c>
      <c r="K129" s="136" t="s">
        <v>17</v>
      </c>
      <c r="L129" s="119"/>
      <c r="M129" s="137"/>
      <c r="N129" s="136"/>
      <c r="O129" s="119"/>
      <c r="P129" s="138"/>
      <c r="Q129" s="136"/>
      <c r="R129" s="137"/>
      <c r="S129" s="38" t="s">
        <v>164</v>
      </c>
    </row>
    <row r="130" spans="3:19">
      <c r="C130" s="2" t="s">
        <v>165</v>
      </c>
      <c r="D130" s="86" t="s">
        <v>150</v>
      </c>
      <c r="E130" s="87" t="s">
        <v>158</v>
      </c>
      <c r="F130" s="241" t="s">
        <v>28</v>
      </c>
      <c r="G130" s="1" t="s">
        <v>28</v>
      </c>
      <c r="H130" s="2">
        <v>-5</v>
      </c>
      <c r="I130" s="71">
        <v>0</v>
      </c>
      <c r="K130" s="136"/>
      <c r="L130" s="119" t="s">
        <v>17</v>
      </c>
      <c r="M130" s="137"/>
      <c r="N130" s="136"/>
      <c r="O130" s="119"/>
      <c r="P130" s="138"/>
      <c r="Q130" s="136" t="s">
        <v>17</v>
      </c>
      <c r="R130" s="137" t="s">
        <v>29</v>
      </c>
      <c r="S130" s="38" t="s">
        <v>22</v>
      </c>
    </row>
    <row r="131" spans="3:19">
      <c r="C131" s="2" t="s">
        <v>166</v>
      </c>
      <c r="D131" s="86" t="s">
        <v>150</v>
      </c>
      <c r="E131" s="87" t="s">
        <v>158</v>
      </c>
      <c r="F131" s="233" t="s">
        <v>16</v>
      </c>
      <c r="G131" s="128" t="s">
        <v>16</v>
      </c>
      <c r="H131" s="125">
        <v>0</v>
      </c>
      <c r="I131" s="194">
        <v>0</v>
      </c>
      <c r="K131" s="136"/>
      <c r="L131" s="119"/>
      <c r="M131" s="137"/>
      <c r="N131" s="136"/>
      <c r="O131" s="119"/>
      <c r="P131" s="138"/>
      <c r="Q131" s="136"/>
      <c r="R131" s="137"/>
      <c r="S131" s="38" t="s">
        <v>151</v>
      </c>
    </row>
    <row r="132" spans="3:19">
      <c r="C132" s="2" t="s">
        <v>167</v>
      </c>
      <c r="D132" s="86" t="s">
        <v>150</v>
      </c>
      <c r="E132" s="87" t="s">
        <v>158</v>
      </c>
      <c r="F132" s="241" t="s">
        <v>28</v>
      </c>
      <c r="G132" s="1" t="s">
        <v>28</v>
      </c>
      <c r="H132" s="2">
        <v>-5</v>
      </c>
      <c r="I132" s="71">
        <v>0</v>
      </c>
      <c r="K132" s="136" t="s">
        <v>29</v>
      </c>
      <c r="L132" s="119"/>
      <c r="M132" s="137"/>
      <c r="N132" s="136"/>
      <c r="O132" s="119"/>
      <c r="P132" s="138"/>
      <c r="Q132" s="136" t="s">
        <v>29</v>
      </c>
      <c r="R132" s="137" t="s">
        <v>29</v>
      </c>
      <c r="S132" s="38" t="s">
        <v>168</v>
      </c>
    </row>
    <row r="133" spans="3:19" ht="16.5" thickBot="1">
      <c r="C133" s="8" t="s">
        <v>169</v>
      </c>
      <c r="D133" s="90" t="s">
        <v>150</v>
      </c>
      <c r="E133" s="91" t="s">
        <v>158</v>
      </c>
      <c r="F133" s="235" t="s">
        <v>16</v>
      </c>
      <c r="G133" s="153" t="s">
        <v>16</v>
      </c>
      <c r="H133" s="126">
        <v>0</v>
      </c>
      <c r="I133" s="200">
        <v>0</v>
      </c>
      <c r="K133" s="143"/>
      <c r="L133" s="145"/>
      <c r="M133" s="144"/>
      <c r="N133" s="143"/>
      <c r="O133" s="145"/>
      <c r="P133" s="146"/>
      <c r="Q133" s="143"/>
      <c r="R133" s="144"/>
      <c r="S133" s="49" t="s">
        <v>151</v>
      </c>
    </row>
    <row r="134" spans="3:19">
      <c r="C134" s="4" t="s">
        <v>170</v>
      </c>
      <c r="D134" s="84" t="s">
        <v>155</v>
      </c>
      <c r="E134" s="85" t="s">
        <v>158</v>
      </c>
      <c r="F134" s="240" t="s">
        <v>28</v>
      </c>
      <c r="G134" s="67" t="s">
        <v>28</v>
      </c>
      <c r="H134" s="4">
        <v>-5</v>
      </c>
      <c r="I134" s="68">
        <v>0</v>
      </c>
      <c r="K134" s="147"/>
      <c r="L134" s="148" t="s">
        <v>17</v>
      </c>
      <c r="M134" s="149"/>
      <c r="N134" s="147"/>
      <c r="O134" s="148"/>
      <c r="P134" s="150"/>
      <c r="Q134" s="132" t="s">
        <v>17</v>
      </c>
      <c r="R134" s="134" t="s">
        <v>29</v>
      </c>
      <c r="S134" s="50" t="s">
        <v>22</v>
      </c>
    </row>
    <row r="135" spans="3:19">
      <c r="C135" s="2" t="s">
        <v>171</v>
      </c>
      <c r="D135" s="86" t="s">
        <v>155</v>
      </c>
      <c r="E135" s="87" t="s">
        <v>158</v>
      </c>
      <c r="F135" s="233" t="s">
        <v>16</v>
      </c>
      <c r="G135" s="128" t="s">
        <v>16</v>
      </c>
      <c r="H135" s="125">
        <v>0</v>
      </c>
      <c r="I135" s="194">
        <v>0</v>
      </c>
      <c r="K135" s="136"/>
      <c r="L135" s="119"/>
      <c r="M135" s="137"/>
      <c r="N135" s="136"/>
      <c r="O135" s="119"/>
      <c r="P135" s="138"/>
      <c r="Q135" s="136"/>
      <c r="R135" s="137"/>
      <c r="S135" s="38" t="s">
        <v>151</v>
      </c>
    </row>
    <row r="136" spans="3:19">
      <c r="C136" s="2" t="s">
        <v>172</v>
      </c>
      <c r="D136" s="86" t="s">
        <v>155</v>
      </c>
      <c r="E136" s="87" t="s">
        <v>158</v>
      </c>
      <c r="F136" s="233" t="s">
        <v>16</v>
      </c>
      <c r="G136" s="128" t="s">
        <v>16</v>
      </c>
      <c r="H136" s="125">
        <v>0</v>
      </c>
      <c r="I136" s="194">
        <v>0</v>
      </c>
      <c r="K136" s="136"/>
      <c r="L136" s="119"/>
      <c r="M136" s="137"/>
      <c r="N136" s="136"/>
      <c r="O136" s="119"/>
      <c r="P136" s="138"/>
      <c r="Q136" s="136"/>
      <c r="R136" s="137"/>
      <c r="S136" s="38" t="s">
        <v>151</v>
      </c>
    </row>
    <row r="137" spans="3:19">
      <c r="C137" s="2" t="s">
        <v>173</v>
      </c>
      <c r="D137" s="86" t="s">
        <v>155</v>
      </c>
      <c r="E137" s="87" t="s">
        <v>158</v>
      </c>
      <c r="F137" s="233" t="s">
        <v>16</v>
      </c>
      <c r="G137" s="128" t="s">
        <v>16</v>
      </c>
      <c r="H137" s="125">
        <v>0</v>
      </c>
      <c r="I137" s="194">
        <v>0</v>
      </c>
      <c r="K137" s="136"/>
      <c r="L137" s="119"/>
      <c r="M137" s="137"/>
      <c r="N137" s="136"/>
      <c r="O137" s="119"/>
      <c r="P137" s="138"/>
      <c r="Q137" s="136"/>
      <c r="R137" s="137"/>
      <c r="S137" s="38" t="s">
        <v>151</v>
      </c>
    </row>
    <row r="138" spans="3:19">
      <c r="C138" s="2" t="s">
        <v>174</v>
      </c>
      <c r="D138" s="86" t="s">
        <v>155</v>
      </c>
      <c r="E138" s="87" t="s">
        <v>158</v>
      </c>
      <c r="F138" s="241" t="s">
        <v>28</v>
      </c>
      <c r="G138" s="1" t="s">
        <v>28</v>
      </c>
      <c r="H138" s="201" t="s">
        <v>175</v>
      </c>
      <c r="I138" s="71">
        <v>0</v>
      </c>
      <c r="K138" s="136"/>
      <c r="L138" s="119" t="s">
        <v>30</v>
      </c>
      <c r="M138" s="137" t="s">
        <v>29</v>
      </c>
      <c r="N138" s="136"/>
      <c r="O138" s="119"/>
      <c r="P138" s="138"/>
      <c r="Q138" s="136" t="s">
        <v>17</v>
      </c>
      <c r="R138" s="137" t="s">
        <v>29</v>
      </c>
      <c r="S138" s="38" t="s">
        <v>22</v>
      </c>
    </row>
    <row r="139" spans="3:19">
      <c r="C139" s="70" t="s">
        <v>176</v>
      </c>
      <c r="D139" s="86" t="s">
        <v>155</v>
      </c>
      <c r="E139" s="87" t="s">
        <v>158</v>
      </c>
      <c r="F139" s="233" t="s">
        <v>16</v>
      </c>
      <c r="G139" s="128" t="s">
        <v>16</v>
      </c>
      <c r="H139" s="125">
        <v>0</v>
      </c>
      <c r="I139" s="194">
        <v>0</v>
      </c>
      <c r="K139" s="136"/>
      <c r="L139" s="119"/>
      <c r="M139" s="137"/>
      <c r="N139" s="136"/>
      <c r="O139" s="119"/>
      <c r="P139" s="138"/>
      <c r="Q139" s="136"/>
      <c r="R139" s="137"/>
      <c r="S139" s="38" t="s">
        <v>151</v>
      </c>
    </row>
    <row r="140" spans="3:19">
      <c r="C140" s="2" t="s">
        <v>177</v>
      </c>
      <c r="D140" s="86" t="s">
        <v>155</v>
      </c>
      <c r="E140" s="87" t="s">
        <v>158</v>
      </c>
      <c r="F140" s="233" t="s">
        <v>16</v>
      </c>
      <c r="G140" s="128" t="s">
        <v>16</v>
      </c>
      <c r="H140" s="125">
        <v>0</v>
      </c>
      <c r="I140" s="194">
        <v>0</v>
      </c>
      <c r="K140" s="136"/>
      <c r="L140" s="119"/>
      <c r="M140" s="137"/>
      <c r="N140" s="136"/>
      <c r="O140" s="119"/>
      <c r="P140" s="138"/>
      <c r="Q140" s="136"/>
      <c r="R140" s="137"/>
      <c r="S140" s="38" t="s">
        <v>151</v>
      </c>
    </row>
    <row r="141" spans="3:19">
      <c r="C141" s="2" t="s">
        <v>178</v>
      </c>
      <c r="D141" s="86" t="s">
        <v>155</v>
      </c>
      <c r="E141" s="87" t="s">
        <v>158</v>
      </c>
      <c r="F141" s="233" t="s">
        <v>16</v>
      </c>
      <c r="G141" s="128" t="s">
        <v>16</v>
      </c>
      <c r="H141" s="125">
        <v>0</v>
      </c>
      <c r="I141" s="194">
        <v>0</v>
      </c>
      <c r="K141" s="136"/>
      <c r="L141" s="119"/>
      <c r="M141" s="137"/>
      <c r="N141" s="136"/>
      <c r="O141" s="119"/>
      <c r="P141" s="138"/>
      <c r="Q141" s="136"/>
      <c r="R141" s="137"/>
      <c r="S141" s="38" t="s">
        <v>151</v>
      </c>
    </row>
    <row r="142" spans="3:19">
      <c r="C142" s="2" t="s">
        <v>179</v>
      </c>
      <c r="D142" s="86" t="s">
        <v>155</v>
      </c>
      <c r="E142" s="87" t="s">
        <v>158</v>
      </c>
      <c r="F142" s="233" t="s">
        <v>16</v>
      </c>
      <c r="G142" s="128" t="s">
        <v>16</v>
      </c>
      <c r="H142" s="125">
        <v>0</v>
      </c>
      <c r="I142" s="194">
        <v>0</v>
      </c>
      <c r="K142" s="136"/>
      <c r="L142" s="119"/>
      <c r="M142" s="137"/>
      <c r="N142" s="136"/>
      <c r="O142" s="119"/>
      <c r="P142" s="138"/>
      <c r="Q142" s="136"/>
      <c r="R142" s="137"/>
      <c r="S142" s="38" t="s">
        <v>151</v>
      </c>
    </row>
    <row r="143" spans="3:19" ht="16.5" thickBot="1">
      <c r="C143" s="8" t="s">
        <v>180</v>
      </c>
      <c r="D143" s="88" t="s">
        <v>155</v>
      </c>
      <c r="E143" s="89" t="s">
        <v>158</v>
      </c>
      <c r="F143" s="242" t="s">
        <v>28</v>
      </c>
      <c r="G143" s="76" t="s">
        <v>28</v>
      </c>
      <c r="H143" s="8">
        <v>-5</v>
      </c>
      <c r="I143" s="73">
        <v>0</v>
      </c>
      <c r="K143" s="143"/>
      <c r="L143" s="145" t="s">
        <v>17</v>
      </c>
      <c r="M143" s="144"/>
      <c r="N143" s="143"/>
      <c r="O143" s="145"/>
      <c r="P143" s="146"/>
      <c r="Q143" s="143" t="s">
        <v>17</v>
      </c>
      <c r="R143" s="144" t="s">
        <v>29</v>
      </c>
      <c r="S143" s="49" t="s">
        <v>22</v>
      </c>
    </row>
    <row r="144" spans="3:19" ht="16.5" thickBot="1"/>
    <row r="145" spans="2:19" ht="16.5" customHeight="1" thickBot="1">
      <c r="B145" s="65" t="s">
        <v>181</v>
      </c>
      <c r="D145" s="66"/>
      <c r="E145" s="66"/>
      <c r="F145" s="270" t="s">
        <v>1</v>
      </c>
      <c r="G145" s="271"/>
      <c r="H145" s="278" t="s">
        <v>2</v>
      </c>
      <c r="I145" s="279"/>
      <c r="K145" s="262" t="s">
        <v>3</v>
      </c>
      <c r="L145" s="263"/>
      <c r="M145" s="264"/>
      <c r="N145" s="262" t="s">
        <v>4</v>
      </c>
      <c r="O145" s="263"/>
      <c r="P145" s="265"/>
      <c r="Q145" s="268" t="s">
        <v>5</v>
      </c>
      <c r="R145" s="272" t="s">
        <v>6</v>
      </c>
      <c r="S145" s="274" t="s">
        <v>7</v>
      </c>
    </row>
    <row r="146" spans="2:19" ht="16.5" thickBot="1">
      <c r="C146" s="190" t="s">
        <v>8</v>
      </c>
      <c r="D146" s="191" t="s">
        <v>9</v>
      </c>
      <c r="E146" s="183" t="s">
        <v>10</v>
      </c>
      <c r="F146" s="244" t="s">
        <v>11</v>
      </c>
      <c r="G146" s="185" t="s">
        <v>12</v>
      </c>
      <c r="H146" s="173" t="s">
        <v>3</v>
      </c>
      <c r="I146" s="174" t="s">
        <v>4</v>
      </c>
      <c r="K146" s="20">
        <v>-4</v>
      </c>
      <c r="L146" s="21">
        <v>-5</v>
      </c>
      <c r="M146" s="22">
        <v>-6</v>
      </c>
      <c r="N146" s="20">
        <v>-4</v>
      </c>
      <c r="O146" s="21">
        <v>-5</v>
      </c>
      <c r="P146" s="23">
        <v>-6</v>
      </c>
      <c r="Q146" s="269"/>
      <c r="R146" s="273"/>
      <c r="S146" s="275"/>
    </row>
    <row r="147" spans="2:19">
      <c r="C147" s="4" t="s">
        <v>182</v>
      </c>
      <c r="D147" s="84" t="s">
        <v>150</v>
      </c>
      <c r="E147" s="85" t="s">
        <v>15</v>
      </c>
      <c r="F147" s="236" t="s">
        <v>16</v>
      </c>
      <c r="G147" s="175" t="s">
        <v>16</v>
      </c>
      <c r="H147" s="195">
        <v>0</v>
      </c>
      <c r="I147" s="196">
        <v>0</v>
      </c>
      <c r="K147" s="132"/>
      <c r="L147" s="133"/>
      <c r="M147" s="134"/>
      <c r="N147" s="132"/>
      <c r="O147" s="133"/>
      <c r="P147" s="135"/>
      <c r="Q147" s="132"/>
      <c r="R147" s="134"/>
      <c r="S147" s="31" t="s">
        <v>151</v>
      </c>
    </row>
    <row r="148" spans="2:19">
      <c r="C148" s="2" t="s">
        <v>183</v>
      </c>
      <c r="D148" s="86" t="s">
        <v>150</v>
      </c>
      <c r="E148" s="87" t="s">
        <v>15</v>
      </c>
      <c r="F148" s="233" t="s">
        <v>16</v>
      </c>
      <c r="G148" s="128" t="s">
        <v>16</v>
      </c>
      <c r="H148" s="125">
        <v>0</v>
      </c>
      <c r="I148" s="194">
        <v>0</v>
      </c>
      <c r="K148" s="136"/>
      <c r="L148" s="119"/>
      <c r="M148" s="137"/>
      <c r="N148" s="136"/>
      <c r="O148" s="119"/>
      <c r="P148" s="138"/>
      <c r="Q148" s="136"/>
      <c r="R148" s="137"/>
      <c r="S148" s="38" t="s">
        <v>151</v>
      </c>
    </row>
    <row r="149" spans="2:19">
      <c r="C149" s="2" t="s">
        <v>184</v>
      </c>
      <c r="D149" s="86" t="s">
        <v>155</v>
      </c>
      <c r="E149" s="87" t="s">
        <v>15</v>
      </c>
      <c r="F149" s="233" t="s">
        <v>16</v>
      </c>
      <c r="G149" s="128" t="s">
        <v>16</v>
      </c>
      <c r="H149" s="125">
        <v>0</v>
      </c>
      <c r="I149" s="194">
        <v>0</v>
      </c>
      <c r="K149" s="136"/>
      <c r="L149" s="119"/>
      <c r="M149" s="137"/>
      <c r="N149" s="136"/>
      <c r="O149" s="119"/>
      <c r="P149" s="138"/>
      <c r="Q149" s="136"/>
      <c r="R149" s="137"/>
      <c r="S149" s="38" t="s">
        <v>151</v>
      </c>
    </row>
    <row r="150" spans="2:19">
      <c r="C150" s="2" t="s">
        <v>185</v>
      </c>
      <c r="D150" s="86" t="s">
        <v>155</v>
      </c>
      <c r="E150" s="87" t="s">
        <v>15</v>
      </c>
      <c r="F150" s="233" t="s">
        <v>16</v>
      </c>
      <c r="G150" s="128" t="s">
        <v>16</v>
      </c>
      <c r="H150" s="125">
        <v>0</v>
      </c>
      <c r="I150" s="194">
        <v>0</v>
      </c>
      <c r="K150" s="136"/>
      <c r="L150" s="119"/>
      <c r="M150" s="137"/>
      <c r="N150" s="136"/>
      <c r="O150" s="119"/>
      <c r="P150" s="138"/>
      <c r="Q150" s="136"/>
      <c r="R150" s="137"/>
      <c r="S150" s="38" t="s">
        <v>151</v>
      </c>
    </row>
    <row r="151" spans="2:19" ht="16.5" thickBot="1">
      <c r="C151" s="8" t="s">
        <v>186</v>
      </c>
      <c r="D151" s="88" t="s">
        <v>155</v>
      </c>
      <c r="E151" s="89" t="s">
        <v>15</v>
      </c>
      <c r="F151" s="237" t="s">
        <v>16</v>
      </c>
      <c r="G151" s="167" t="s">
        <v>16</v>
      </c>
      <c r="H151" s="127">
        <v>0</v>
      </c>
      <c r="I151" s="197">
        <v>0</v>
      </c>
      <c r="K151" s="139"/>
      <c r="L151" s="140"/>
      <c r="M151" s="141"/>
      <c r="N151" s="139"/>
      <c r="O151" s="140"/>
      <c r="P151" s="142"/>
      <c r="Q151" s="143"/>
      <c r="R151" s="144"/>
      <c r="S151" s="46" t="s">
        <v>151</v>
      </c>
    </row>
    <row r="152" spans="2:19">
      <c r="C152" s="4" t="s">
        <v>187</v>
      </c>
      <c r="D152" s="84" t="s">
        <v>150</v>
      </c>
      <c r="E152" s="85" t="s">
        <v>188</v>
      </c>
      <c r="F152" s="240" t="s">
        <v>28</v>
      </c>
      <c r="G152" s="67" t="s">
        <v>28</v>
      </c>
      <c r="H152" s="199" t="s">
        <v>73</v>
      </c>
      <c r="I152" s="68">
        <v>0</v>
      </c>
      <c r="K152" s="132" t="s">
        <v>29</v>
      </c>
      <c r="L152" s="133" t="s">
        <v>29</v>
      </c>
      <c r="M152" s="134"/>
      <c r="N152" s="132"/>
      <c r="O152" s="133"/>
      <c r="P152" s="135"/>
      <c r="Q152" s="132" t="s">
        <v>29</v>
      </c>
      <c r="R152" s="134" t="s">
        <v>29</v>
      </c>
      <c r="S152" s="31" t="s">
        <v>189</v>
      </c>
    </row>
    <row r="153" spans="2:19">
      <c r="C153" s="2" t="s">
        <v>190</v>
      </c>
      <c r="D153" s="86" t="s">
        <v>150</v>
      </c>
      <c r="E153" s="87" t="s">
        <v>188</v>
      </c>
      <c r="F153" s="241" t="s">
        <v>28</v>
      </c>
      <c r="G153" s="1" t="s">
        <v>28</v>
      </c>
      <c r="H153" s="2">
        <v>-5</v>
      </c>
      <c r="I153" s="71">
        <v>0</v>
      </c>
      <c r="K153" s="136" t="s">
        <v>17</v>
      </c>
      <c r="L153" s="119"/>
      <c r="M153" s="137"/>
      <c r="N153" s="136"/>
      <c r="O153" s="119"/>
      <c r="P153" s="138"/>
      <c r="Q153" s="136" t="s">
        <v>17</v>
      </c>
      <c r="R153" s="137" t="s">
        <v>29</v>
      </c>
      <c r="S153" s="38" t="s">
        <v>22</v>
      </c>
    </row>
    <row r="154" spans="2:19">
      <c r="C154" s="2" t="s">
        <v>191</v>
      </c>
      <c r="D154" s="86" t="s">
        <v>150</v>
      </c>
      <c r="E154" s="87" t="s">
        <v>188</v>
      </c>
      <c r="F154" s="241" t="s">
        <v>28</v>
      </c>
      <c r="G154" s="1" t="s">
        <v>28</v>
      </c>
      <c r="H154" s="2">
        <v>-5</v>
      </c>
      <c r="I154" s="71">
        <v>0</v>
      </c>
      <c r="K154" s="136" t="s">
        <v>17</v>
      </c>
      <c r="L154" s="119" t="s">
        <v>30</v>
      </c>
      <c r="M154" s="137"/>
      <c r="N154" s="136"/>
      <c r="O154" s="119"/>
      <c r="P154" s="138"/>
      <c r="Q154" s="136" t="s">
        <v>17</v>
      </c>
      <c r="R154" s="137" t="s">
        <v>29</v>
      </c>
      <c r="S154" s="38" t="s">
        <v>192</v>
      </c>
    </row>
    <row r="155" spans="2:19">
      <c r="C155" s="2" t="s">
        <v>193</v>
      </c>
      <c r="D155" s="86" t="s">
        <v>150</v>
      </c>
      <c r="E155" s="87" t="s">
        <v>188</v>
      </c>
      <c r="F155" s="241" t="s">
        <v>28</v>
      </c>
      <c r="G155" s="1" t="s">
        <v>28</v>
      </c>
      <c r="H155" s="2">
        <v>-5</v>
      </c>
      <c r="I155" s="71">
        <v>0</v>
      </c>
      <c r="K155" s="136" t="s">
        <v>29</v>
      </c>
      <c r="L155" s="119"/>
      <c r="M155" s="137"/>
      <c r="N155" s="136"/>
      <c r="O155" s="119"/>
      <c r="P155" s="138"/>
      <c r="Q155" s="136" t="s">
        <v>29</v>
      </c>
      <c r="R155" s="137" t="s">
        <v>29</v>
      </c>
      <c r="S155" s="38" t="s">
        <v>194</v>
      </c>
    </row>
    <row r="156" spans="2:19">
      <c r="C156" s="2" t="s">
        <v>195</v>
      </c>
      <c r="D156" s="86" t="s">
        <v>150</v>
      </c>
      <c r="E156" s="87" t="s">
        <v>188</v>
      </c>
      <c r="F156" s="233" t="s">
        <v>16</v>
      </c>
      <c r="G156" s="128" t="s">
        <v>16</v>
      </c>
      <c r="H156" s="125">
        <v>0</v>
      </c>
      <c r="I156" s="194">
        <v>0</v>
      </c>
      <c r="K156" s="136"/>
      <c r="L156" s="119"/>
      <c r="M156" s="137"/>
      <c r="N156" s="136"/>
      <c r="O156" s="119"/>
      <c r="P156" s="138"/>
      <c r="Q156" s="136"/>
      <c r="R156" s="137"/>
      <c r="S156" s="38" t="s">
        <v>151</v>
      </c>
    </row>
    <row r="157" spans="2:19">
      <c r="C157" s="70" t="s">
        <v>196</v>
      </c>
      <c r="D157" s="86" t="s">
        <v>150</v>
      </c>
      <c r="E157" s="87" t="s">
        <v>188</v>
      </c>
      <c r="F157" s="233" t="s">
        <v>16</v>
      </c>
      <c r="G157" s="128" t="s">
        <v>16</v>
      </c>
      <c r="H157" s="125">
        <v>0</v>
      </c>
      <c r="I157" s="194">
        <v>0</v>
      </c>
      <c r="K157" s="136"/>
      <c r="L157" s="119"/>
      <c r="M157" s="137"/>
      <c r="N157" s="136"/>
      <c r="O157" s="119"/>
      <c r="P157" s="138"/>
      <c r="Q157" s="136"/>
      <c r="R157" s="137"/>
      <c r="S157" s="38" t="s">
        <v>151</v>
      </c>
    </row>
    <row r="158" spans="2:19">
      <c r="C158" s="2" t="s">
        <v>197</v>
      </c>
      <c r="D158" s="86" t="s">
        <v>150</v>
      </c>
      <c r="E158" s="87" t="s">
        <v>188</v>
      </c>
      <c r="F158" s="233" t="s">
        <v>16</v>
      </c>
      <c r="G158" s="128" t="s">
        <v>16</v>
      </c>
      <c r="H158" s="125">
        <v>0</v>
      </c>
      <c r="I158" s="194">
        <v>0</v>
      </c>
      <c r="K158" s="136"/>
      <c r="L158" s="119"/>
      <c r="M158" s="137"/>
      <c r="N158" s="136"/>
      <c r="O158" s="119"/>
      <c r="P158" s="138"/>
      <c r="Q158" s="136"/>
      <c r="R158" s="137"/>
      <c r="S158" s="38" t="s">
        <v>151</v>
      </c>
    </row>
    <row r="159" spans="2:19">
      <c r="C159" s="2" t="s">
        <v>198</v>
      </c>
      <c r="D159" s="86" t="s">
        <v>150</v>
      </c>
      <c r="E159" s="87" t="s">
        <v>188</v>
      </c>
      <c r="F159" s="233" t="s">
        <v>16</v>
      </c>
      <c r="G159" s="128" t="s">
        <v>16</v>
      </c>
      <c r="H159" s="125">
        <v>0</v>
      </c>
      <c r="I159" s="194">
        <v>0</v>
      </c>
      <c r="K159" s="136"/>
      <c r="L159" s="119"/>
      <c r="M159" s="137"/>
      <c r="N159" s="136"/>
      <c r="O159" s="119"/>
      <c r="P159" s="138"/>
      <c r="Q159" s="136"/>
      <c r="R159" s="137"/>
      <c r="S159" s="38" t="s">
        <v>151</v>
      </c>
    </row>
    <row r="160" spans="2:19">
      <c r="C160" s="2" t="s">
        <v>199</v>
      </c>
      <c r="D160" s="86" t="s">
        <v>150</v>
      </c>
      <c r="E160" s="87" t="s">
        <v>188</v>
      </c>
      <c r="F160" s="233" t="s">
        <v>16</v>
      </c>
      <c r="G160" s="128" t="s">
        <v>16</v>
      </c>
      <c r="H160" s="125">
        <v>0</v>
      </c>
      <c r="I160" s="194">
        <v>0</v>
      </c>
      <c r="K160" s="136"/>
      <c r="L160" s="119"/>
      <c r="M160" s="137"/>
      <c r="N160" s="136"/>
      <c r="O160" s="119"/>
      <c r="P160" s="138"/>
      <c r="Q160" s="136"/>
      <c r="R160" s="137"/>
      <c r="S160" s="38" t="s">
        <v>151</v>
      </c>
    </row>
    <row r="161" spans="2:19" ht="16.5" thickBot="1">
      <c r="C161" s="8" t="s">
        <v>200</v>
      </c>
      <c r="D161" s="90" t="s">
        <v>150</v>
      </c>
      <c r="E161" s="91" t="s">
        <v>188</v>
      </c>
      <c r="F161" s="235" t="s">
        <v>16</v>
      </c>
      <c r="G161" s="153" t="s">
        <v>16</v>
      </c>
      <c r="H161" s="126">
        <v>0</v>
      </c>
      <c r="I161" s="200">
        <v>0</v>
      </c>
      <c r="K161" s="143"/>
      <c r="L161" s="145"/>
      <c r="M161" s="144"/>
      <c r="N161" s="143"/>
      <c r="O161" s="145"/>
      <c r="P161" s="146"/>
      <c r="Q161" s="143"/>
      <c r="R161" s="144"/>
      <c r="S161" s="49" t="s">
        <v>151</v>
      </c>
    </row>
    <row r="162" spans="2:19">
      <c r="C162" s="4" t="s">
        <v>201</v>
      </c>
      <c r="D162" s="84" t="s">
        <v>155</v>
      </c>
      <c r="E162" s="85" t="s">
        <v>188</v>
      </c>
      <c r="F162" s="243" t="s">
        <v>28</v>
      </c>
      <c r="G162" s="193" t="s">
        <v>28</v>
      </c>
      <c r="H162" s="202" t="s">
        <v>73</v>
      </c>
      <c r="I162" s="187">
        <v>0</v>
      </c>
      <c r="K162" s="147" t="s">
        <v>17</v>
      </c>
      <c r="L162" s="148" t="s">
        <v>17</v>
      </c>
      <c r="M162" s="149"/>
      <c r="N162" s="147"/>
      <c r="O162" s="148"/>
      <c r="P162" s="150"/>
      <c r="Q162" s="132" t="s">
        <v>17</v>
      </c>
      <c r="R162" s="134" t="s">
        <v>29</v>
      </c>
      <c r="S162" s="50" t="s">
        <v>22</v>
      </c>
    </row>
    <row r="163" spans="2:19">
      <c r="C163" s="2" t="s">
        <v>202</v>
      </c>
      <c r="D163" s="86" t="s">
        <v>155</v>
      </c>
      <c r="E163" s="87" t="s">
        <v>188</v>
      </c>
      <c r="F163" s="241" t="s">
        <v>28</v>
      </c>
      <c r="G163" s="1" t="s">
        <v>28</v>
      </c>
      <c r="H163" s="201" t="s">
        <v>73</v>
      </c>
      <c r="I163" s="71">
        <v>0</v>
      </c>
      <c r="K163" s="136" t="s">
        <v>17</v>
      </c>
      <c r="L163" s="119" t="s">
        <v>17</v>
      </c>
      <c r="M163" s="137"/>
      <c r="N163" s="136"/>
      <c r="O163" s="119"/>
      <c r="P163" s="138"/>
      <c r="Q163" s="136" t="s">
        <v>17</v>
      </c>
      <c r="R163" s="137" t="s">
        <v>29</v>
      </c>
      <c r="S163" s="38" t="s">
        <v>22</v>
      </c>
    </row>
    <row r="164" spans="2:19">
      <c r="C164" s="2" t="s">
        <v>203</v>
      </c>
      <c r="D164" s="86" t="s">
        <v>155</v>
      </c>
      <c r="E164" s="87" t="s">
        <v>188</v>
      </c>
      <c r="F164" s="241" t="s">
        <v>28</v>
      </c>
      <c r="G164" s="1" t="s">
        <v>28</v>
      </c>
      <c r="H164" s="2">
        <v>-5</v>
      </c>
      <c r="I164" s="71">
        <v>0</v>
      </c>
      <c r="K164" s="136"/>
      <c r="L164" s="119" t="s">
        <v>17</v>
      </c>
      <c r="M164" s="137"/>
      <c r="N164" s="136"/>
      <c r="O164" s="119"/>
      <c r="P164" s="138"/>
      <c r="Q164" s="136" t="s">
        <v>17</v>
      </c>
      <c r="R164" s="137" t="s">
        <v>29</v>
      </c>
      <c r="S164" s="38" t="s">
        <v>22</v>
      </c>
    </row>
    <row r="165" spans="2:19">
      <c r="C165" s="2" t="s">
        <v>204</v>
      </c>
      <c r="D165" s="86" t="s">
        <v>155</v>
      </c>
      <c r="E165" s="87" t="s">
        <v>188</v>
      </c>
      <c r="F165" s="241" t="s">
        <v>28</v>
      </c>
      <c r="G165" s="1" t="s">
        <v>28</v>
      </c>
      <c r="H165" s="2">
        <v>-5</v>
      </c>
      <c r="I165" s="71">
        <v>0</v>
      </c>
      <c r="K165" s="136"/>
      <c r="L165" s="119" t="s">
        <v>17</v>
      </c>
      <c r="M165" s="137"/>
      <c r="N165" s="136"/>
      <c r="O165" s="119"/>
      <c r="P165" s="138"/>
      <c r="Q165" s="136" t="s">
        <v>17</v>
      </c>
      <c r="R165" s="137" t="s">
        <v>29</v>
      </c>
      <c r="S165" s="38" t="s">
        <v>22</v>
      </c>
    </row>
    <row r="166" spans="2:19">
      <c r="C166" s="2" t="s">
        <v>205</v>
      </c>
      <c r="D166" s="86" t="s">
        <v>155</v>
      </c>
      <c r="E166" s="87" t="s">
        <v>188</v>
      </c>
      <c r="F166" s="241" t="s">
        <v>28</v>
      </c>
      <c r="G166" s="1" t="s">
        <v>28</v>
      </c>
      <c r="H166" s="2">
        <v>-5</v>
      </c>
      <c r="I166" s="71">
        <v>0</v>
      </c>
      <c r="K166" s="136"/>
      <c r="L166" s="119" t="s">
        <v>17</v>
      </c>
      <c r="M166" s="137"/>
      <c r="N166" s="136"/>
      <c r="O166" s="119"/>
      <c r="P166" s="138"/>
      <c r="Q166" s="136" t="s">
        <v>17</v>
      </c>
      <c r="R166" s="137" t="s">
        <v>29</v>
      </c>
      <c r="S166" s="38" t="s">
        <v>22</v>
      </c>
    </row>
    <row r="167" spans="2:19">
      <c r="C167" s="70" t="s">
        <v>206</v>
      </c>
      <c r="D167" s="86" t="s">
        <v>155</v>
      </c>
      <c r="E167" s="87" t="s">
        <v>188</v>
      </c>
      <c r="F167" s="241" t="s">
        <v>28</v>
      </c>
      <c r="G167" s="1" t="s">
        <v>28</v>
      </c>
      <c r="H167" s="2">
        <v>-5</v>
      </c>
      <c r="I167" s="71">
        <v>0</v>
      </c>
      <c r="K167" s="136"/>
      <c r="L167" s="119" t="s">
        <v>17</v>
      </c>
      <c r="M167" s="137"/>
      <c r="N167" s="136"/>
      <c r="O167" s="119"/>
      <c r="P167" s="138"/>
      <c r="Q167" s="136" t="s">
        <v>17</v>
      </c>
      <c r="R167" s="137" t="s">
        <v>29</v>
      </c>
      <c r="S167" s="38" t="s">
        <v>22</v>
      </c>
    </row>
    <row r="168" spans="2:19">
      <c r="C168" s="2" t="s">
        <v>207</v>
      </c>
      <c r="D168" s="86" t="s">
        <v>155</v>
      </c>
      <c r="E168" s="87" t="s">
        <v>188</v>
      </c>
      <c r="F168" s="241" t="s">
        <v>28</v>
      </c>
      <c r="G168" s="1" t="s">
        <v>28</v>
      </c>
      <c r="H168" s="2">
        <v>-5</v>
      </c>
      <c r="I168" s="71">
        <v>0</v>
      </c>
      <c r="K168" s="136"/>
      <c r="L168" s="119" t="s">
        <v>17</v>
      </c>
      <c r="M168" s="137"/>
      <c r="N168" s="136"/>
      <c r="O168" s="119"/>
      <c r="P168" s="138"/>
      <c r="Q168" s="136" t="s">
        <v>17</v>
      </c>
      <c r="R168" s="137" t="s">
        <v>29</v>
      </c>
      <c r="S168" s="38" t="s">
        <v>22</v>
      </c>
    </row>
    <row r="169" spans="2:19">
      <c r="C169" s="2" t="s">
        <v>208</v>
      </c>
      <c r="D169" s="86" t="s">
        <v>155</v>
      </c>
      <c r="E169" s="87" t="s">
        <v>188</v>
      </c>
      <c r="F169" s="241" t="s">
        <v>28</v>
      </c>
      <c r="G169" s="1" t="s">
        <v>28</v>
      </c>
      <c r="H169" s="2">
        <v>-5</v>
      </c>
      <c r="I169" s="71">
        <v>0</v>
      </c>
      <c r="K169" s="136"/>
      <c r="L169" s="119" t="s">
        <v>17</v>
      </c>
      <c r="M169" s="137"/>
      <c r="N169" s="136"/>
      <c r="O169" s="119"/>
      <c r="P169" s="138"/>
      <c r="Q169" s="136" t="s">
        <v>17</v>
      </c>
      <c r="R169" s="137" t="s">
        <v>29</v>
      </c>
      <c r="S169" s="38" t="s">
        <v>22</v>
      </c>
    </row>
    <row r="170" spans="2:19">
      <c r="C170" s="2" t="s">
        <v>209</v>
      </c>
      <c r="D170" s="86" t="s">
        <v>155</v>
      </c>
      <c r="E170" s="87" t="s">
        <v>188</v>
      </c>
      <c r="F170" s="241" t="s">
        <v>28</v>
      </c>
      <c r="G170" s="1" t="s">
        <v>28</v>
      </c>
      <c r="H170" s="2">
        <v>-5</v>
      </c>
      <c r="I170" s="71">
        <v>0</v>
      </c>
      <c r="K170" s="136"/>
      <c r="L170" s="119" t="s">
        <v>17</v>
      </c>
      <c r="M170" s="137"/>
      <c r="N170" s="136"/>
      <c r="O170" s="119"/>
      <c r="P170" s="138"/>
      <c r="Q170" s="136" t="s">
        <v>17</v>
      </c>
      <c r="R170" s="137" t="s">
        <v>29</v>
      </c>
      <c r="S170" s="38" t="s">
        <v>22</v>
      </c>
    </row>
    <row r="171" spans="2:19" ht="16.5" thickBot="1">
      <c r="C171" s="8" t="s">
        <v>210</v>
      </c>
      <c r="D171" s="88" t="s">
        <v>155</v>
      </c>
      <c r="E171" s="89" t="s">
        <v>188</v>
      </c>
      <c r="F171" s="242" t="s">
        <v>28</v>
      </c>
      <c r="G171" s="76" t="s">
        <v>28</v>
      </c>
      <c r="H171" s="8">
        <v>-5</v>
      </c>
      <c r="I171" s="73">
        <v>0</v>
      </c>
      <c r="K171" s="143"/>
      <c r="L171" s="145" t="s">
        <v>17</v>
      </c>
      <c r="M171" s="144"/>
      <c r="N171" s="143"/>
      <c r="O171" s="145"/>
      <c r="P171" s="146"/>
      <c r="Q171" s="143" t="s">
        <v>17</v>
      </c>
      <c r="R171" s="144" t="s">
        <v>29</v>
      </c>
      <c r="S171" s="49" t="s">
        <v>22</v>
      </c>
    </row>
    <row r="172" spans="2:19" ht="16.5" thickBot="1"/>
    <row r="173" spans="2:19" ht="16.5" customHeight="1" thickBot="1">
      <c r="B173" s="65" t="s">
        <v>211</v>
      </c>
      <c r="D173" s="66"/>
      <c r="E173" s="66"/>
      <c r="F173" s="270" t="s">
        <v>1</v>
      </c>
      <c r="G173" s="271"/>
      <c r="H173" s="286" t="s">
        <v>2</v>
      </c>
      <c r="I173" s="279"/>
      <c r="K173" s="262" t="s">
        <v>3</v>
      </c>
      <c r="L173" s="263"/>
      <c r="M173" s="264"/>
      <c r="N173" s="262" t="s">
        <v>4</v>
      </c>
      <c r="O173" s="263"/>
      <c r="P173" s="265"/>
      <c r="Q173" s="268" t="s">
        <v>5</v>
      </c>
      <c r="R173" s="272" t="s">
        <v>6</v>
      </c>
      <c r="S173" s="274" t="s">
        <v>7</v>
      </c>
    </row>
    <row r="174" spans="2:19" ht="16.5" thickBot="1">
      <c r="C174" s="190" t="s">
        <v>8</v>
      </c>
      <c r="D174" s="191" t="s">
        <v>9</v>
      </c>
      <c r="E174" s="183" t="s">
        <v>10</v>
      </c>
      <c r="F174" s="190" t="s">
        <v>11</v>
      </c>
      <c r="G174" s="185" t="s">
        <v>12</v>
      </c>
      <c r="H174" s="179" t="s">
        <v>3</v>
      </c>
      <c r="I174" s="164" t="s">
        <v>4</v>
      </c>
      <c r="K174" s="20">
        <v>-4</v>
      </c>
      <c r="L174" s="21">
        <v>-5</v>
      </c>
      <c r="M174" s="22">
        <v>-6</v>
      </c>
      <c r="N174" s="20">
        <v>-4</v>
      </c>
      <c r="O174" s="21">
        <v>-5</v>
      </c>
      <c r="P174" s="23">
        <v>-6</v>
      </c>
      <c r="Q174" s="269"/>
      <c r="R174" s="273"/>
      <c r="S174" s="275"/>
    </row>
    <row r="175" spans="2:19">
      <c r="C175" s="4" t="s">
        <v>212</v>
      </c>
      <c r="D175" s="84" t="s">
        <v>213</v>
      </c>
      <c r="E175" s="85" t="s">
        <v>15</v>
      </c>
      <c r="F175" s="236" t="s">
        <v>16</v>
      </c>
      <c r="G175" s="175" t="s">
        <v>16</v>
      </c>
      <c r="H175" s="189">
        <v>0</v>
      </c>
      <c r="I175" s="189">
        <v>0</v>
      </c>
      <c r="K175" s="132"/>
      <c r="L175" s="133"/>
      <c r="M175" s="134"/>
      <c r="N175" s="132"/>
      <c r="O175" s="133"/>
      <c r="P175" s="135"/>
      <c r="Q175" s="132"/>
      <c r="R175" s="134"/>
      <c r="S175" s="31" t="s">
        <v>151</v>
      </c>
    </row>
    <row r="176" spans="2:19">
      <c r="C176" s="2" t="s">
        <v>214</v>
      </c>
      <c r="D176" s="86" t="s">
        <v>213</v>
      </c>
      <c r="E176" s="87" t="s">
        <v>15</v>
      </c>
      <c r="F176" s="233" t="s">
        <v>16</v>
      </c>
      <c r="G176" s="128" t="s">
        <v>16</v>
      </c>
      <c r="H176" s="120">
        <v>0</v>
      </c>
      <c r="I176" s="120">
        <v>0</v>
      </c>
      <c r="K176" s="136"/>
      <c r="L176" s="119"/>
      <c r="M176" s="137"/>
      <c r="N176" s="136"/>
      <c r="O176" s="119"/>
      <c r="P176" s="138"/>
      <c r="Q176" s="136"/>
      <c r="R176" s="137"/>
      <c r="S176" s="38" t="s">
        <v>151</v>
      </c>
    </row>
    <row r="177" spans="3:19">
      <c r="C177" s="2" t="s">
        <v>215</v>
      </c>
      <c r="D177" s="86" t="s">
        <v>213</v>
      </c>
      <c r="E177" s="87" t="s">
        <v>15</v>
      </c>
      <c r="F177" s="233" t="s">
        <v>16</v>
      </c>
      <c r="G177" s="128" t="s">
        <v>16</v>
      </c>
      <c r="H177" s="120">
        <v>0</v>
      </c>
      <c r="I177" s="120">
        <v>0</v>
      </c>
      <c r="K177" s="136"/>
      <c r="L177" s="119"/>
      <c r="M177" s="137"/>
      <c r="N177" s="136"/>
      <c r="O177" s="119"/>
      <c r="P177" s="138"/>
      <c r="Q177" s="136"/>
      <c r="R177" s="137"/>
      <c r="S177" s="38" t="s">
        <v>151</v>
      </c>
    </row>
    <row r="178" spans="3:19">
      <c r="C178" s="2" t="s">
        <v>216</v>
      </c>
      <c r="D178" s="86" t="s">
        <v>217</v>
      </c>
      <c r="E178" s="87" t="s">
        <v>15</v>
      </c>
      <c r="F178" s="233" t="s">
        <v>16</v>
      </c>
      <c r="G178" s="128" t="s">
        <v>16</v>
      </c>
      <c r="H178" s="120">
        <v>0</v>
      </c>
      <c r="I178" s="120">
        <v>0</v>
      </c>
      <c r="K178" s="136"/>
      <c r="L178" s="119"/>
      <c r="M178" s="137"/>
      <c r="N178" s="136"/>
      <c r="O178" s="119"/>
      <c r="P178" s="138"/>
      <c r="Q178" s="136"/>
      <c r="R178" s="137"/>
      <c r="S178" s="38" t="s">
        <v>151</v>
      </c>
    </row>
    <row r="179" spans="3:19" ht="16.5" thickBot="1">
      <c r="C179" s="8" t="s">
        <v>218</v>
      </c>
      <c r="D179" s="88" t="s">
        <v>217</v>
      </c>
      <c r="E179" s="89" t="s">
        <v>15</v>
      </c>
      <c r="F179" s="237" t="s">
        <v>16</v>
      </c>
      <c r="G179" s="167" t="s">
        <v>16</v>
      </c>
      <c r="H179" s="192">
        <v>0</v>
      </c>
      <c r="I179" s="192">
        <v>0</v>
      </c>
      <c r="K179" s="139"/>
      <c r="L179" s="140"/>
      <c r="M179" s="141"/>
      <c r="N179" s="139"/>
      <c r="O179" s="140"/>
      <c r="P179" s="142"/>
      <c r="Q179" s="143"/>
      <c r="R179" s="144"/>
      <c r="S179" s="46" t="s">
        <v>151</v>
      </c>
    </row>
    <row r="180" spans="3:19">
      <c r="C180" s="4" t="s">
        <v>219</v>
      </c>
      <c r="D180" s="84" t="s">
        <v>213</v>
      </c>
      <c r="E180" s="85" t="s">
        <v>220</v>
      </c>
      <c r="F180" s="4" t="s">
        <v>28</v>
      </c>
      <c r="G180" s="67" t="s">
        <v>28</v>
      </c>
      <c r="H180" s="6">
        <v>-5</v>
      </c>
      <c r="I180" s="68">
        <v>0</v>
      </c>
      <c r="K180" s="132"/>
      <c r="L180" s="133" t="s">
        <v>17</v>
      </c>
      <c r="M180" s="134"/>
      <c r="N180" s="132"/>
      <c r="O180" s="133"/>
      <c r="P180" s="135"/>
      <c r="Q180" s="132" t="s">
        <v>17</v>
      </c>
      <c r="R180" s="134" t="s">
        <v>29</v>
      </c>
      <c r="S180" s="31" t="s">
        <v>22</v>
      </c>
    </row>
    <row r="181" spans="3:19">
      <c r="C181" s="2" t="s">
        <v>221</v>
      </c>
      <c r="D181" s="86" t="s">
        <v>213</v>
      </c>
      <c r="E181" s="87" t="s">
        <v>220</v>
      </c>
      <c r="F181" s="233" t="s">
        <v>16</v>
      </c>
      <c r="G181" s="128" t="s">
        <v>16</v>
      </c>
      <c r="H181" s="120">
        <v>0</v>
      </c>
      <c r="I181" s="194">
        <v>0</v>
      </c>
      <c r="K181" s="136"/>
      <c r="L181" s="119"/>
      <c r="M181" s="137"/>
      <c r="N181" s="136"/>
      <c r="O181" s="119"/>
      <c r="P181" s="138"/>
      <c r="Q181" s="136"/>
      <c r="R181" s="137"/>
      <c r="S181" s="38" t="s">
        <v>151</v>
      </c>
    </row>
    <row r="182" spans="3:19">
      <c r="C182" s="2" t="s">
        <v>222</v>
      </c>
      <c r="D182" s="86" t="s">
        <v>213</v>
      </c>
      <c r="E182" s="87" t="s">
        <v>220</v>
      </c>
      <c r="F182" s="233" t="s">
        <v>16</v>
      </c>
      <c r="G182" s="128" t="s">
        <v>16</v>
      </c>
      <c r="H182" s="120">
        <v>0</v>
      </c>
      <c r="I182" s="194">
        <v>0</v>
      </c>
      <c r="K182" s="136"/>
      <c r="L182" s="119"/>
      <c r="M182" s="137"/>
      <c r="N182" s="136"/>
      <c r="O182" s="119"/>
      <c r="P182" s="138"/>
      <c r="Q182" s="136"/>
      <c r="R182" s="137"/>
      <c r="S182" s="38" t="s">
        <v>151</v>
      </c>
    </row>
    <row r="183" spans="3:19">
      <c r="C183" s="2" t="s">
        <v>223</v>
      </c>
      <c r="D183" s="86" t="s">
        <v>213</v>
      </c>
      <c r="E183" s="87" t="s">
        <v>220</v>
      </c>
      <c r="F183" s="2" t="s">
        <v>28</v>
      </c>
      <c r="G183" s="1" t="s">
        <v>28</v>
      </c>
      <c r="H183" s="7">
        <v>-5</v>
      </c>
      <c r="I183" s="71">
        <v>0</v>
      </c>
      <c r="K183" s="136"/>
      <c r="L183" s="119" t="s">
        <v>17</v>
      </c>
      <c r="M183" s="137"/>
      <c r="N183" s="136"/>
      <c r="O183" s="119"/>
      <c r="P183" s="138"/>
      <c r="Q183" s="136" t="s">
        <v>17</v>
      </c>
      <c r="R183" s="137" t="s">
        <v>29</v>
      </c>
      <c r="S183" s="38" t="s">
        <v>22</v>
      </c>
    </row>
    <row r="184" spans="3:19">
      <c r="C184" s="2" t="s">
        <v>224</v>
      </c>
      <c r="D184" s="86" t="s">
        <v>213</v>
      </c>
      <c r="E184" s="87" t="s">
        <v>220</v>
      </c>
      <c r="F184" s="233" t="s">
        <v>16</v>
      </c>
      <c r="G184" s="128" t="s">
        <v>16</v>
      </c>
      <c r="H184" s="120">
        <v>0</v>
      </c>
      <c r="I184" s="194">
        <v>0</v>
      </c>
      <c r="K184" s="136"/>
      <c r="L184" s="119"/>
      <c r="M184" s="137"/>
      <c r="N184" s="136"/>
      <c r="O184" s="119"/>
      <c r="P184" s="138"/>
      <c r="Q184" s="136"/>
      <c r="R184" s="137"/>
      <c r="S184" s="38" t="s">
        <v>151</v>
      </c>
    </row>
    <row r="185" spans="3:19">
      <c r="C185" s="70" t="s">
        <v>225</v>
      </c>
      <c r="D185" s="86" t="s">
        <v>213</v>
      </c>
      <c r="E185" s="87" t="s">
        <v>220</v>
      </c>
      <c r="F185" s="233" t="s">
        <v>16</v>
      </c>
      <c r="G185" s="128" t="s">
        <v>16</v>
      </c>
      <c r="H185" s="120">
        <v>0</v>
      </c>
      <c r="I185" s="194">
        <v>0</v>
      </c>
      <c r="K185" s="136"/>
      <c r="L185" s="119"/>
      <c r="M185" s="137"/>
      <c r="N185" s="136"/>
      <c r="O185" s="119"/>
      <c r="P185" s="138"/>
      <c r="Q185" s="136"/>
      <c r="R185" s="137"/>
      <c r="S185" s="38" t="s">
        <v>151</v>
      </c>
    </row>
    <row r="186" spans="3:19">
      <c r="C186" s="2" t="s">
        <v>226</v>
      </c>
      <c r="D186" s="86" t="s">
        <v>213</v>
      </c>
      <c r="E186" s="87" t="s">
        <v>220</v>
      </c>
      <c r="F186" s="2" t="s">
        <v>28</v>
      </c>
      <c r="G186" s="1" t="s">
        <v>28</v>
      </c>
      <c r="H186" s="7">
        <v>-5</v>
      </c>
      <c r="I186" s="71">
        <v>0</v>
      </c>
      <c r="K186" s="136"/>
      <c r="L186" s="119" t="s">
        <v>17</v>
      </c>
      <c r="M186" s="137"/>
      <c r="N186" s="136"/>
      <c r="O186" s="119"/>
      <c r="P186" s="138"/>
      <c r="Q186" s="136" t="s">
        <v>17</v>
      </c>
      <c r="R186" s="137" t="s">
        <v>29</v>
      </c>
      <c r="S186" s="38" t="s">
        <v>22</v>
      </c>
    </row>
    <row r="187" spans="3:19">
      <c r="C187" s="2" t="s">
        <v>227</v>
      </c>
      <c r="D187" s="86" t="s">
        <v>213</v>
      </c>
      <c r="E187" s="87" t="s">
        <v>220</v>
      </c>
      <c r="F187" s="233" t="s">
        <v>16</v>
      </c>
      <c r="G187" s="128" t="s">
        <v>16</v>
      </c>
      <c r="H187" s="120">
        <v>0</v>
      </c>
      <c r="I187" s="194">
        <v>0</v>
      </c>
      <c r="K187" s="136"/>
      <c r="L187" s="119"/>
      <c r="M187" s="137"/>
      <c r="N187" s="136"/>
      <c r="O187" s="119"/>
      <c r="P187" s="138"/>
      <c r="Q187" s="136"/>
      <c r="R187" s="137"/>
      <c r="S187" s="38" t="s">
        <v>151</v>
      </c>
    </row>
    <row r="188" spans="3:19">
      <c r="C188" s="2" t="s">
        <v>228</v>
      </c>
      <c r="D188" s="86" t="s">
        <v>213</v>
      </c>
      <c r="E188" s="87" t="s">
        <v>220</v>
      </c>
      <c r="F188" s="233" t="s">
        <v>16</v>
      </c>
      <c r="G188" s="128" t="s">
        <v>16</v>
      </c>
      <c r="H188" s="120">
        <v>0</v>
      </c>
      <c r="I188" s="194">
        <v>0</v>
      </c>
      <c r="K188" s="136"/>
      <c r="L188" s="119"/>
      <c r="M188" s="137"/>
      <c r="N188" s="136"/>
      <c r="O188" s="119"/>
      <c r="P188" s="138"/>
      <c r="Q188" s="136"/>
      <c r="R188" s="137"/>
      <c r="S188" s="38" t="s">
        <v>151</v>
      </c>
    </row>
    <row r="189" spans="3:19" ht="16.5" thickBot="1">
      <c r="C189" s="8" t="s">
        <v>229</v>
      </c>
      <c r="D189" s="90" t="s">
        <v>213</v>
      </c>
      <c r="E189" s="91" t="s">
        <v>220</v>
      </c>
      <c r="F189" s="8" t="s">
        <v>28</v>
      </c>
      <c r="G189" s="76" t="s">
        <v>28</v>
      </c>
      <c r="H189" s="10">
        <v>-5</v>
      </c>
      <c r="I189" s="73">
        <v>0</v>
      </c>
      <c r="K189" s="143"/>
      <c r="L189" s="145" t="s">
        <v>17</v>
      </c>
      <c r="M189" s="144"/>
      <c r="N189" s="143"/>
      <c r="O189" s="145"/>
      <c r="P189" s="146"/>
      <c r="Q189" s="143" t="s">
        <v>17</v>
      </c>
      <c r="R189" s="144" t="s">
        <v>29</v>
      </c>
      <c r="S189" s="49" t="s">
        <v>22</v>
      </c>
    </row>
    <row r="190" spans="3:19">
      <c r="C190" s="4" t="s">
        <v>230</v>
      </c>
      <c r="D190" s="84" t="s">
        <v>217</v>
      </c>
      <c r="E190" s="85" t="s">
        <v>220</v>
      </c>
      <c r="F190" s="4" t="s">
        <v>28</v>
      </c>
      <c r="G190" s="67" t="s">
        <v>28</v>
      </c>
      <c r="H190" s="6">
        <v>-5</v>
      </c>
      <c r="I190" s="68">
        <v>0</v>
      </c>
      <c r="K190" s="147"/>
      <c r="L190" s="148" t="s">
        <v>17</v>
      </c>
      <c r="M190" s="149"/>
      <c r="N190" s="147"/>
      <c r="O190" s="148"/>
      <c r="P190" s="150"/>
      <c r="Q190" s="132" t="s">
        <v>17</v>
      </c>
      <c r="R190" s="134" t="s">
        <v>29</v>
      </c>
      <c r="S190" s="50" t="s">
        <v>22</v>
      </c>
    </row>
    <row r="191" spans="3:19">
      <c r="C191" s="2" t="s">
        <v>231</v>
      </c>
      <c r="D191" s="86" t="s">
        <v>217</v>
      </c>
      <c r="E191" s="87" t="s">
        <v>220</v>
      </c>
      <c r="F191" s="233" t="s">
        <v>16</v>
      </c>
      <c r="G191" s="128" t="s">
        <v>16</v>
      </c>
      <c r="H191" s="120">
        <v>0</v>
      </c>
      <c r="I191" s="194">
        <v>0</v>
      </c>
      <c r="K191" s="136"/>
      <c r="L191" s="119"/>
      <c r="M191" s="137"/>
      <c r="N191" s="136"/>
      <c r="O191" s="119"/>
      <c r="P191" s="138"/>
      <c r="Q191" s="136"/>
      <c r="R191" s="137"/>
      <c r="S191" s="38" t="s">
        <v>151</v>
      </c>
    </row>
    <row r="192" spans="3:19">
      <c r="C192" s="2" t="s">
        <v>232</v>
      </c>
      <c r="D192" s="86" t="s">
        <v>217</v>
      </c>
      <c r="E192" s="87" t="s">
        <v>220</v>
      </c>
      <c r="F192" s="2" t="s">
        <v>28</v>
      </c>
      <c r="G192" s="1" t="s">
        <v>28</v>
      </c>
      <c r="H192" s="7">
        <v>-5</v>
      </c>
      <c r="I192" s="71">
        <v>0</v>
      </c>
      <c r="K192" s="136"/>
      <c r="L192" s="119" t="s">
        <v>17</v>
      </c>
      <c r="M192" s="137"/>
      <c r="N192" s="136"/>
      <c r="O192" s="119"/>
      <c r="P192" s="138"/>
      <c r="Q192" s="136" t="s">
        <v>17</v>
      </c>
      <c r="R192" s="137" t="s">
        <v>29</v>
      </c>
      <c r="S192" s="38" t="s">
        <v>22</v>
      </c>
    </row>
    <row r="193" spans="2:19">
      <c r="C193" s="2" t="s">
        <v>233</v>
      </c>
      <c r="D193" s="86" t="s">
        <v>217</v>
      </c>
      <c r="E193" s="87" t="s">
        <v>220</v>
      </c>
      <c r="F193" s="233" t="s">
        <v>16</v>
      </c>
      <c r="G193" s="128" t="s">
        <v>16</v>
      </c>
      <c r="H193" s="120">
        <v>0</v>
      </c>
      <c r="I193" s="194">
        <v>0</v>
      </c>
      <c r="K193" s="136"/>
      <c r="L193" s="119"/>
      <c r="M193" s="137"/>
      <c r="N193" s="136"/>
      <c r="O193" s="119"/>
      <c r="P193" s="138"/>
      <c r="Q193" s="136"/>
      <c r="R193" s="137"/>
      <c r="S193" s="38" t="s">
        <v>151</v>
      </c>
    </row>
    <row r="194" spans="2:19">
      <c r="C194" s="2" t="s">
        <v>234</v>
      </c>
      <c r="D194" s="86" t="s">
        <v>217</v>
      </c>
      <c r="E194" s="87" t="s">
        <v>220</v>
      </c>
      <c r="F194" s="233" t="s">
        <v>16</v>
      </c>
      <c r="G194" s="128" t="s">
        <v>16</v>
      </c>
      <c r="H194" s="120">
        <v>0</v>
      </c>
      <c r="I194" s="194">
        <v>0</v>
      </c>
      <c r="K194" s="136"/>
      <c r="L194" s="119"/>
      <c r="M194" s="137"/>
      <c r="N194" s="136"/>
      <c r="O194" s="119"/>
      <c r="P194" s="138"/>
      <c r="Q194" s="136"/>
      <c r="R194" s="137"/>
      <c r="S194" s="38" t="s">
        <v>151</v>
      </c>
    </row>
    <row r="195" spans="2:19">
      <c r="C195" s="70" t="s">
        <v>235</v>
      </c>
      <c r="D195" s="86" t="s">
        <v>217</v>
      </c>
      <c r="E195" s="87" t="s">
        <v>220</v>
      </c>
      <c r="F195" s="2" t="s">
        <v>28</v>
      </c>
      <c r="G195" s="1" t="s">
        <v>28</v>
      </c>
      <c r="H195" s="7">
        <v>-5</v>
      </c>
      <c r="I195" s="71">
        <v>0</v>
      </c>
      <c r="K195" s="136"/>
      <c r="L195" s="119" t="s">
        <v>17</v>
      </c>
      <c r="M195" s="137"/>
      <c r="N195" s="136"/>
      <c r="O195" s="119"/>
      <c r="P195" s="138"/>
      <c r="Q195" s="136" t="s">
        <v>17</v>
      </c>
      <c r="R195" s="137" t="s">
        <v>29</v>
      </c>
      <c r="S195" s="38" t="s">
        <v>22</v>
      </c>
    </row>
    <row r="196" spans="2:19">
      <c r="C196" s="2" t="s">
        <v>236</v>
      </c>
      <c r="D196" s="86" t="s">
        <v>217</v>
      </c>
      <c r="E196" s="87" t="s">
        <v>220</v>
      </c>
      <c r="F196" s="233" t="s">
        <v>16</v>
      </c>
      <c r="G196" s="128" t="s">
        <v>16</v>
      </c>
      <c r="H196" s="120">
        <v>0</v>
      </c>
      <c r="I196" s="194">
        <v>0</v>
      </c>
      <c r="K196" s="136"/>
      <c r="L196" s="119"/>
      <c r="M196" s="137"/>
      <c r="N196" s="136"/>
      <c r="O196" s="119"/>
      <c r="P196" s="138"/>
      <c r="Q196" s="136"/>
      <c r="R196" s="137"/>
      <c r="S196" s="38" t="s">
        <v>151</v>
      </c>
    </row>
    <row r="197" spans="2:19">
      <c r="C197" s="2" t="s">
        <v>237</v>
      </c>
      <c r="D197" s="86" t="s">
        <v>217</v>
      </c>
      <c r="E197" s="87" t="s">
        <v>220</v>
      </c>
      <c r="F197" s="233" t="s">
        <v>16</v>
      </c>
      <c r="G197" s="128" t="s">
        <v>16</v>
      </c>
      <c r="H197" s="120">
        <v>0</v>
      </c>
      <c r="I197" s="194">
        <v>0</v>
      </c>
      <c r="K197" s="136"/>
      <c r="L197" s="119"/>
      <c r="M197" s="137"/>
      <c r="N197" s="136"/>
      <c r="O197" s="119"/>
      <c r="P197" s="138"/>
      <c r="Q197" s="136"/>
      <c r="R197" s="137"/>
      <c r="S197" s="38" t="s">
        <v>151</v>
      </c>
    </row>
    <row r="198" spans="2:19">
      <c r="C198" s="2" t="s">
        <v>238</v>
      </c>
      <c r="D198" s="86" t="s">
        <v>217</v>
      </c>
      <c r="E198" s="87" t="s">
        <v>220</v>
      </c>
      <c r="F198" s="2" t="s">
        <v>28</v>
      </c>
      <c r="G198" s="1" t="s">
        <v>28</v>
      </c>
      <c r="H198" s="7">
        <v>-5</v>
      </c>
      <c r="I198" s="71">
        <v>0</v>
      </c>
      <c r="K198" s="136"/>
      <c r="L198" s="119" t="s">
        <v>17</v>
      </c>
      <c r="M198" s="137"/>
      <c r="N198" s="136"/>
      <c r="O198" s="119"/>
      <c r="P198" s="138"/>
      <c r="Q198" s="136" t="s">
        <v>17</v>
      </c>
      <c r="R198" s="137" t="s">
        <v>29</v>
      </c>
      <c r="S198" s="38" t="s">
        <v>22</v>
      </c>
    </row>
    <row r="199" spans="2:19" ht="16.5" thickBot="1">
      <c r="C199" s="8" t="s">
        <v>239</v>
      </c>
      <c r="D199" s="88" t="s">
        <v>217</v>
      </c>
      <c r="E199" s="89" t="s">
        <v>220</v>
      </c>
      <c r="F199" s="235" t="s">
        <v>16</v>
      </c>
      <c r="G199" s="153" t="s">
        <v>16</v>
      </c>
      <c r="H199" s="203">
        <v>0</v>
      </c>
      <c r="I199" s="200">
        <v>0</v>
      </c>
      <c r="K199" s="143"/>
      <c r="L199" s="145"/>
      <c r="M199" s="144"/>
      <c r="N199" s="143"/>
      <c r="O199" s="145"/>
      <c r="P199" s="146"/>
      <c r="Q199" s="143"/>
      <c r="R199" s="144"/>
      <c r="S199" s="49" t="s">
        <v>151</v>
      </c>
    </row>
    <row r="200" spans="2:19" ht="16.5" thickBot="1">
      <c r="C200" s="11"/>
      <c r="D200" s="92"/>
      <c r="E200" s="92"/>
      <c r="F200" s="11"/>
      <c r="G200" s="11"/>
      <c r="H200" s="11"/>
      <c r="I200" s="11"/>
    </row>
    <row r="201" spans="2:19" ht="16.5" customHeight="1" thickBot="1">
      <c r="B201" s="65" t="s">
        <v>240</v>
      </c>
      <c r="D201" s="66"/>
      <c r="E201" s="66"/>
      <c r="F201" s="260" t="s">
        <v>1</v>
      </c>
      <c r="G201" s="261"/>
      <c r="H201" s="287" t="s">
        <v>2</v>
      </c>
      <c r="I201" s="283"/>
      <c r="K201" s="262" t="s">
        <v>3</v>
      </c>
      <c r="L201" s="263"/>
      <c r="M201" s="264"/>
      <c r="N201" s="262" t="s">
        <v>4</v>
      </c>
      <c r="O201" s="263"/>
      <c r="P201" s="265"/>
      <c r="Q201" s="268" t="s">
        <v>5</v>
      </c>
      <c r="R201" s="272" t="s">
        <v>6</v>
      </c>
      <c r="S201" s="274" t="s">
        <v>7</v>
      </c>
    </row>
    <row r="202" spans="2:19" ht="16.5" thickBot="1">
      <c r="C202" s="190" t="s">
        <v>8</v>
      </c>
      <c r="D202" s="191" t="s">
        <v>9</v>
      </c>
      <c r="E202" s="183" t="s">
        <v>10</v>
      </c>
      <c r="F202" s="190" t="s">
        <v>11</v>
      </c>
      <c r="G202" s="185" t="s">
        <v>12</v>
      </c>
      <c r="H202" s="179" t="s">
        <v>3</v>
      </c>
      <c r="I202" s="164" t="s">
        <v>4</v>
      </c>
      <c r="K202" s="20">
        <v>-4</v>
      </c>
      <c r="L202" s="21">
        <v>-5</v>
      </c>
      <c r="M202" s="22">
        <v>-6</v>
      </c>
      <c r="N202" s="20">
        <v>-4</v>
      </c>
      <c r="O202" s="21">
        <v>-5</v>
      </c>
      <c r="P202" s="23">
        <v>-6</v>
      </c>
      <c r="Q202" s="269"/>
      <c r="R202" s="273"/>
      <c r="S202" s="275"/>
    </row>
    <row r="203" spans="2:19">
      <c r="C203" s="4" t="s">
        <v>241</v>
      </c>
      <c r="D203" s="84" t="s">
        <v>213</v>
      </c>
      <c r="E203" s="85" t="s">
        <v>15</v>
      </c>
      <c r="F203" s="234" t="s">
        <v>16</v>
      </c>
      <c r="G203" s="152" t="s">
        <v>16</v>
      </c>
      <c r="H203" s="204">
        <v>0</v>
      </c>
      <c r="I203" s="205">
        <v>0</v>
      </c>
      <c r="K203" s="132"/>
      <c r="L203" s="133" t="s">
        <v>17</v>
      </c>
      <c r="M203" s="134"/>
      <c r="N203" s="132"/>
      <c r="O203" s="133"/>
      <c r="P203" s="135"/>
      <c r="Q203" s="132"/>
      <c r="R203" s="134"/>
      <c r="S203" s="31" t="s">
        <v>18</v>
      </c>
    </row>
    <row r="204" spans="2:19">
      <c r="C204" s="2" t="s">
        <v>242</v>
      </c>
      <c r="D204" s="86" t="s">
        <v>213</v>
      </c>
      <c r="E204" s="87" t="s">
        <v>15</v>
      </c>
      <c r="F204" s="233" t="s">
        <v>16</v>
      </c>
      <c r="G204" s="128" t="s">
        <v>16</v>
      </c>
      <c r="H204" s="120">
        <v>0</v>
      </c>
      <c r="I204" s="194">
        <v>0</v>
      </c>
      <c r="K204" s="136" t="s">
        <v>17</v>
      </c>
      <c r="L204" s="119"/>
      <c r="M204" s="137"/>
      <c r="N204" s="136"/>
      <c r="O204" s="119"/>
      <c r="P204" s="138"/>
      <c r="Q204" s="136"/>
      <c r="R204" s="137"/>
      <c r="S204" s="38" t="s">
        <v>18</v>
      </c>
    </row>
    <row r="205" spans="2:19">
      <c r="C205" s="2" t="s">
        <v>243</v>
      </c>
      <c r="D205" s="86" t="s">
        <v>213</v>
      </c>
      <c r="E205" s="87" t="s">
        <v>15</v>
      </c>
      <c r="F205" s="233" t="s">
        <v>16</v>
      </c>
      <c r="G205" s="128" t="s">
        <v>16</v>
      </c>
      <c r="H205" s="120">
        <v>0</v>
      </c>
      <c r="I205" s="194">
        <v>0</v>
      </c>
      <c r="K205" s="136"/>
      <c r="L205" s="119"/>
      <c r="M205" s="137"/>
      <c r="N205" s="136"/>
      <c r="O205" s="119"/>
      <c r="P205" s="138"/>
      <c r="Q205" s="136"/>
      <c r="R205" s="137"/>
      <c r="S205" s="38" t="s">
        <v>244</v>
      </c>
    </row>
    <row r="206" spans="2:19">
      <c r="C206" s="2" t="s">
        <v>245</v>
      </c>
      <c r="D206" s="86" t="s">
        <v>217</v>
      </c>
      <c r="E206" s="87" t="s">
        <v>15</v>
      </c>
      <c r="F206" s="233" t="s">
        <v>16</v>
      </c>
      <c r="G206" s="128" t="s">
        <v>16</v>
      </c>
      <c r="H206" s="120">
        <v>0</v>
      </c>
      <c r="I206" s="194">
        <v>0</v>
      </c>
      <c r="K206" s="136"/>
      <c r="L206" s="119"/>
      <c r="M206" s="137"/>
      <c r="N206" s="136"/>
      <c r="O206" s="119"/>
      <c r="P206" s="138"/>
      <c r="Q206" s="136"/>
      <c r="R206" s="137"/>
      <c r="S206" s="38" t="s">
        <v>244</v>
      </c>
    </row>
    <row r="207" spans="2:19" ht="16.5" thickBot="1">
      <c r="C207" s="8" t="s">
        <v>246</v>
      </c>
      <c r="D207" s="88" t="s">
        <v>217</v>
      </c>
      <c r="E207" s="89" t="s">
        <v>15</v>
      </c>
      <c r="F207" s="235" t="s">
        <v>16</v>
      </c>
      <c r="G207" s="153" t="s">
        <v>16</v>
      </c>
      <c r="H207" s="203">
        <v>0</v>
      </c>
      <c r="I207" s="200">
        <v>0</v>
      </c>
      <c r="K207" s="139"/>
      <c r="L207" s="140"/>
      <c r="M207" s="141"/>
      <c r="N207" s="139"/>
      <c r="O207" s="140"/>
      <c r="P207" s="142"/>
      <c r="Q207" s="143"/>
      <c r="R207" s="144"/>
      <c r="S207" s="46" t="s">
        <v>244</v>
      </c>
    </row>
    <row r="208" spans="2:19">
      <c r="C208" s="4" t="s">
        <v>247</v>
      </c>
      <c r="D208" s="84" t="s">
        <v>213</v>
      </c>
      <c r="E208" s="85" t="s">
        <v>248</v>
      </c>
      <c r="F208" s="4" t="s">
        <v>28</v>
      </c>
      <c r="G208" s="67" t="s">
        <v>28</v>
      </c>
      <c r="H208" s="6">
        <v>-5</v>
      </c>
      <c r="I208" s="68">
        <v>0</v>
      </c>
      <c r="K208" s="132"/>
      <c r="L208" s="133" t="s">
        <v>17</v>
      </c>
      <c r="M208" s="134"/>
      <c r="N208" s="132"/>
      <c r="O208" s="133"/>
      <c r="P208" s="135"/>
      <c r="Q208" s="132" t="s">
        <v>17</v>
      </c>
      <c r="R208" s="134" t="s">
        <v>29</v>
      </c>
      <c r="S208" s="31" t="s">
        <v>22</v>
      </c>
    </row>
    <row r="209" spans="3:19">
      <c r="C209" s="2" t="s">
        <v>249</v>
      </c>
      <c r="D209" s="86" t="s">
        <v>213</v>
      </c>
      <c r="E209" s="87" t="s">
        <v>248</v>
      </c>
      <c r="F209" s="2" t="s">
        <v>28</v>
      </c>
      <c r="G209" s="1" t="s">
        <v>28</v>
      </c>
      <c r="H209" s="7">
        <v>-5</v>
      </c>
      <c r="I209" s="71">
        <v>0</v>
      </c>
      <c r="K209" s="136"/>
      <c r="L209" s="119" t="s">
        <v>17</v>
      </c>
      <c r="M209" s="137"/>
      <c r="N209" s="136"/>
      <c r="O209" s="119"/>
      <c r="P209" s="138"/>
      <c r="Q209" s="136" t="s">
        <v>17</v>
      </c>
      <c r="R209" s="137" t="s">
        <v>29</v>
      </c>
      <c r="S209" s="38" t="s">
        <v>22</v>
      </c>
    </row>
    <row r="210" spans="3:19">
      <c r="C210" s="2" t="s">
        <v>250</v>
      </c>
      <c r="D210" s="86" t="s">
        <v>213</v>
      </c>
      <c r="E210" s="87" t="s">
        <v>248</v>
      </c>
      <c r="F210" s="2" t="s">
        <v>28</v>
      </c>
      <c r="G210" s="1" t="s">
        <v>28</v>
      </c>
      <c r="H210" s="7">
        <v>-5</v>
      </c>
      <c r="I210" s="71">
        <v>0</v>
      </c>
      <c r="K210" s="136"/>
      <c r="L210" s="119" t="s">
        <v>17</v>
      </c>
      <c r="M210" s="137"/>
      <c r="N210" s="136"/>
      <c r="O210" s="119"/>
      <c r="P210" s="138"/>
      <c r="Q210" s="136" t="s">
        <v>17</v>
      </c>
      <c r="R210" s="137" t="s">
        <v>29</v>
      </c>
      <c r="S210" s="38" t="s">
        <v>22</v>
      </c>
    </row>
    <row r="211" spans="3:19">
      <c r="C211" s="2" t="s">
        <v>251</v>
      </c>
      <c r="D211" s="86" t="s">
        <v>213</v>
      </c>
      <c r="E211" s="87" t="s">
        <v>248</v>
      </c>
      <c r="F211" s="233" t="s">
        <v>16</v>
      </c>
      <c r="G211" s="128" t="s">
        <v>16</v>
      </c>
      <c r="H211" s="120">
        <v>0</v>
      </c>
      <c r="I211" s="194">
        <v>0</v>
      </c>
      <c r="K211" s="136"/>
      <c r="L211" s="119"/>
      <c r="M211" s="137"/>
      <c r="N211" s="136"/>
      <c r="O211" s="119"/>
      <c r="P211" s="138"/>
      <c r="Q211" s="136"/>
      <c r="R211" s="137"/>
      <c r="S211" s="38" t="s">
        <v>244</v>
      </c>
    </row>
    <row r="212" spans="3:19">
      <c r="C212" s="2" t="s">
        <v>252</v>
      </c>
      <c r="D212" s="86" t="s">
        <v>213</v>
      </c>
      <c r="E212" s="87" t="s">
        <v>248</v>
      </c>
      <c r="F212" s="2" t="s">
        <v>28</v>
      </c>
      <c r="G212" s="1" t="s">
        <v>28</v>
      </c>
      <c r="H212" s="7">
        <v>-4</v>
      </c>
      <c r="I212" s="71">
        <v>0</v>
      </c>
      <c r="K212" s="136" t="s">
        <v>17</v>
      </c>
      <c r="L212" s="119"/>
      <c r="M212" s="137"/>
      <c r="N212" s="136"/>
      <c r="O212" s="119"/>
      <c r="P212" s="138"/>
      <c r="Q212" s="136" t="s">
        <v>17</v>
      </c>
      <c r="R212" s="137" t="s">
        <v>29</v>
      </c>
      <c r="S212" s="38" t="s">
        <v>22</v>
      </c>
    </row>
    <row r="213" spans="3:19">
      <c r="C213" s="70" t="s">
        <v>253</v>
      </c>
      <c r="D213" s="86" t="s">
        <v>213</v>
      </c>
      <c r="E213" s="87" t="s">
        <v>248</v>
      </c>
      <c r="F213" s="2" t="s">
        <v>28</v>
      </c>
      <c r="G213" s="1" t="s">
        <v>28</v>
      </c>
      <c r="H213" s="7">
        <v>-5</v>
      </c>
      <c r="I213" s="71">
        <v>0</v>
      </c>
      <c r="K213" s="136"/>
      <c r="L213" s="119" t="s">
        <v>17</v>
      </c>
      <c r="M213" s="137"/>
      <c r="N213" s="136"/>
      <c r="O213" s="119"/>
      <c r="P213" s="138"/>
      <c r="Q213" s="136" t="s">
        <v>17</v>
      </c>
      <c r="R213" s="137" t="s">
        <v>29</v>
      </c>
      <c r="S213" s="38" t="s">
        <v>22</v>
      </c>
    </row>
    <row r="214" spans="3:19">
      <c r="C214" s="2" t="s">
        <v>254</v>
      </c>
      <c r="D214" s="86" t="s">
        <v>213</v>
      </c>
      <c r="E214" s="87" t="s">
        <v>248</v>
      </c>
      <c r="F214" s="2" t="s">
        <v>28</v>
      </c>
      <c r="G214" s="1" t="s">
        <v>28</v>
      </c>
      <c r="H214" s="7">
        <v>-5</v>
      </c>
      <c r="I214" s="71">
        <v>0</v>
      </c>
      <c r="K214" s="136"/>
      <c r="L214" s="119" t="s">
        <v>17</v>
      </c>
      <c r="M214" s="137"/>
      <c r="N214" s="136"/>
      <c r="O214" s="119"/>
      <c r="P214" s="138"/>
      <c r="Q214" s="136" t="s">
        <v>17</v>
      </c>
      <c r="R214" s="137" t="s">
        <v>29</v>
      </c>
      <c r="S214" s="38" t="s">
        <v>22</v>
      </c>
    </row>
    <row r="215" spans="3:19">
      <c r="C215" s="2" t="s">
        <v>255</v>
      </c>
      <c r="D215" s="86" t="s">
        <v>213</v>
      </c>
      <c r="E215" s="87" t="s">
        <v>248</v>
      </c>
      <c r="F215" s="233" t="s">
        <v>16</v>
      </c>
      <c r="G215" s="128" t="s">
        <v>16</v>
      </c>
      <c r="H215" s="120">
        <v>0</v>
      </c>
      <c r="I215" s="194">
        <v>0</v>
      </c>
      <c r="K215" s="136"/>
      <c r="L215" s="119"/>
      <c r="M215" s="137"/>
      <c r="N215" s="136"/>
      <c r="O215" s="119"/>
      <c r="P215" s="138"/>
      <c r="Q215" s="136"/>
      <c r="R215" s="137"/>
      <c r="S215" s="38" t="s">
        <v>244</v>
      </c>
    </row>
    <row r="216" spans="3:19">
      <c r="C216" s="2" t="s">
        <v>256</v>
      </c>
      <c r="D216" s="86" t="s">
        <v>213</v>
      </c>
      <c r="E216" s="87" t="s">
        <v>248</v>
      </c>
      <c r="F216" s="233" t="s">
        <v>16</v>
      </c>
      <c r="G216" s="128" t="s">
        <v>16</v>
      </c>
      <c r="H216" s="120">
        <v>0</v>
      </c>
      <c r="I216" s="194">
        <v>0</v>
      </c>
      <c r="K216" s="136"/>
      <c r="L216" s="119"/>
      <c r="M216" s="137"/>
      <c r="N216" s="136"/>
      <c r="O216" s="119"/>
      <c r="P216" s="138"/>
      <c r="Q216" s="136"/>
      <c r="R216" s="137"/>
      <c r="S216" s="38" t="s">
        <v>244</v>
      </c>
    </row>
    <row r="217" spans="3:19" ht="16.5" thickBot="1">
      <c r="C217" s="8" t="s">
        <v>257</v>
      </c>
      <c r="D217" s="90" t="s">
        <v>213</v>
      </c>
      <c r="E217" s="91" t="s">
        <v>248</v>
      </c>
      <c r="F217" s="235" t="s">
        <v>16</v>
      </c>
      <c r="G217" s="153" t="s">
        <v>16</v>
      </c>
      <c r="H217" s="203">
        <v>0</v>
      </c>
      <c r="I217" s="200">
        <v>0</v>
      </c>
      <c r="K217" s="143"/>
      <c r="L217" s="145"/>
      <c r="M217" s="144"/>
      <c r="N217" s="143"/>
      <c r="O217" s="145"/>
      <c r="P217" s="146"/>
      <c r="Q217" s="143"/>
      <c r="R217" s="144"/>
      <c r="S217" s="49" t="s">
        <v>244</v>
      </c>
    </row>
    <row r="218" spans="3:19">
      <c r="C218" s="4" t="s">
        <v>258</v>
      </c>
      <c r="D218" s="84" t="s">
        <v>217</v>
      </c>
      <c r="E218" s="85" t="s">
        <v>248</v>
      </c>
      <c r="F218" s="234" t="s">
        <v>16</v>
      </c>
      <c r="G218" s="152" t="s">
        <v>16</v>
      </c>
      <c r="H218" s="204">
        <v>0</v>
      </c>
      <c r="I218" s="205">
        <v>0</v>
      </c>
      <c r="K218" s="147"/>
      <c r="L218" s="148"/>
      <c r="M218" s="149"/>
      <c r="N218" s="147"/>
      <c r="O218" s="148"/>
      <c r="P218" s="150"/>
      <c r="Q218" s="132"/>
      <c r="R218" s="134"/>
      <c r="S218" s="50" t="s">
        <v>244</v>
      </c>
    </row>
    <row r="219" spans="3:19">
      <c r="C219" s="2" t="s">
        <v>259</v>
      </c>
      <c r="D219" s="86" t="s">
        <v>217</v>
      </c>
      <c r="E219" s="87" t="s">
        <v>248</v>
      </c>
      <c r="F219" s="2" t="s">
        <v>28</v>
      </c>
      <c r="G219" s="1" t="s">
        <v>28</v>
      </c>
      <c r="H219" s="7">
        <v>-5</v>
      </c>
      <c r="I219" s="71">
        <v>0</v>
      </c>
      <c r="K219" s="136"/>
      <c r="L219" s="119" t="s">
        <v>17</v>
      </c>
      <c r="M219" s="137"/>
      <c r="N219" s="136"/>
      <c r="O219" s="119"/>
      <c r="P219" s="138"/>
      <c r="Q219" s="136" t="s">
        <v>17</v>
      </c>
      <c r="R219" s="137" t="s">
        <v>29</v>
      </c>
      <c r="S219" s="38" t="s">
        <v>22</v>
      </c>
    </row>
    <row r="220" spans="3:19">
      <c r="C220" s="2" t="s">
        <v>260</v>
      </c>
      <c r="D220" s="86" t="s">
        <v>217</v>
      </c>
      <c r="E220" s="87" t="s">
        <v>248</v>
      </c>
      <c r="F220" s="2" t="s">
        <v>28</v>
      </c>
      <c r="G220" s="1" t="s">
        <v>28</v>
      </c>
      <c r="H220" s="7">
        <v>-5</v>
      </c>
      <c r="I220" s="71">
        <v>0</v>
      </c>
      <c r="K220" s="136"/>
      <c r="L220" s="119" t="s">
        <v>17</v>
      </c>
      <c r="M220" s="137"/>
      <c r="N220" s="136"/>
      <c r="O220" s="119"/>
      <c r="P220" s="138"/>
      <c r="Q220" s="136" t="s">
        <v>17</v>
      </c>
      <c r="R220" s="137" t="s">
        <v>29</v>
      </c>
      <c r="S220" s="38" t="s">
        <v>22</v>
      </c>
    </row>
    <row r="221" spans="3:19">
      <c r="C221" s="2" t="s">
        <v>261</v>
      </c>
      <c r="D221" s="86" t="s">
        <v>217</v>
      </c>
      <c r="E221" s="87" t="s">
        <v>248</v>
      </c>
      <c r="F221" s="2" t="s">
        <v>28</v>
      </c>
      <c r="G221" s="1" t="s">
        <v>28</v>
      </c>
      <c r="H221" s="7">
        <v>-4</v>
      </c>
      <c r="I221" s="71">
        <v>0</v>
      </c>
      <c r="K221" s="136" t="s">
        <v>17</v>
      </c>
      <c r="L221" s="119"/>
      <c r="M221" s="137"/>
      <c r="N221" s="136"/>
      <c r="O221" s="119"/>
      <c r="P221" s="138"/>
      <c r="Q221" s="136" t="s">
        <v>17</v>
      </c>
      <c r="R221" s="137" t="s">
        <v>29</v>
      </c>
      <c r="S221" s="38" t="s">
        <v>22</v>
      </c>
    </row>
    <row r="222" spans="3:19">
      <c r="C222" s="2" t="s">
        <v>262</v>
      </c>
      <c r="D222" s="86" t="s">
        <v>217</v>
      </c>
      <c r="E222" s="87" t="s">
        <v>248</v>
      </c>
      <c r="F222" s="233" t="s">
        <v>16</v>
      </c>
      <c r="G222" s="128" t="s">
        <v>16</v>
      </c>
      <c r="H222" s="120">
        <v>0</v>
      </c>
      <c r="I222" s="194">
        <v>0</v>
      </c>
      <c r="K222" s="136"/>
      <c r="L222" s="119"/>
      <c r="M222" s="137"/>
      <c r="N222" s="136"/>
      <c r="O222" s="119"/>
      <c r="P222" s="138"/>
      <c r="Q222" s="136"/>
      <c r="R222" s="137"/>
      <c r="S222" s="38" t="s">
        <v>244</v>
      </c>
    </row>
    <row r="223" spans="3:19">
      <c r="C223" s="70" t="s">
        <v>263</v>
      </c>
      <c r="D223" s="86" t="s">
        <v>217</v>
      </c>
      <c r="E223" s="87" t="s">
        <v>248</v>
      </c>
      <c r="F223" s="233" t="s">
        <v>16</v>
      </c>
      <c r="G223" s="128" t="s">
        <v>16</v>
      </c>
      <c r="H223" s="120">
        <v>0</v>
      </c>
      <c r="I223" s="194">
        <v>0</v>
      </c>
      <c r="K223" s="136"/>
      <c r="L223" s="119"/>
      <c r="M223" s="137"/>
      <c r="N223" s="136"/>
      <c r="O223" s="119"/>
      <c r="P223" s="138"/>
      <c r="Q223" s="136"/>
      <c r="R223" s="137"/>
      <c r="S223" s="38" t="s">
        <v>244</v>
      </c>
    </row>
    <row r="224" spans="3:19">
      <c r="C224" s="2" t="s">
        <v>264</v>
      </c>
      <c r="D224" s="86" t="s">
        <v>217</v>
      </c>
      <c r="E224" s="87" t="s">
        <v>248</v>
      </c>
      <c r="F224" s="2" t="s">
        <v>28</v>
      </c>
      <c r="G224" s="1" t="s">
        <v>28</v>
      </c>
      <c r="H224" s="7">
        <v>-4</v>
      </c>
      <c r="I224" s="71">
        <v>0</v>
      </c>
      <c r="K224" s="136" t="s">
        <v>17</v>
      </c>
      <c r="L224" s="119"/>
      <c r="M224" s="137"/>
      <c r="N224" s="136"/>
      <c r="O224" s="119"/>
      <c r="P224" s="138"/>
      <c r="Q224" s="136" t="s">
        <v>17</v>
      </c>
      <c r="R224" s="137" t="s">
        <v>29</v>
      </c>
      <c r="S224" s="38" t="s">
        <v>22</v>
      </c>
    </row>
    <row r="225" spans="2:19">
      <c r="C225" s="2" t="s">
        <v>265</v>
      </c>
      <c r="D225" s="86" t="s">
        <v>217</v>
      </c>
      <c r="E225" s="87" t="s">
        <v>248</v>
      </c>
      <c r="F225" s="2" t="s">
        <v>28</v>
      </c>
      <c r="G225" s="1" t="s">
        <v>28</v>
      </c>
      <c r="H225" s="7">
        <v>-4</v>
      </c>
      <c r="I225" s="71">
        <v>0</v>
      </c>
      <c r="K225" s="136" t="s">
        <v>17</v>
      </c>
      <c r="L225" s="119"/>
      <c r="M225" s="137"/>
      <c r="N225" s="136"/>
      <c r="O225" s="119"/>
      <c r="P225" s="138"/>
      <c r="Q225" s="136" t="s">
        <v>17</v>
      </c>
      <c r="R225" s="137" t="s">
        <v>29</v>
      </c>
      <c r="S225" s="38" t="s">
        <v>22</v>
      </c>
    </row>
    <row r="226" spans="2:19">
      <c r="C226" s="2" t="s">
        <v>266</v>
      </c>
      <c r="D226" s="86" t="s">
        <v>217</v>
      </c>
      <c r="E226" s="87" t="s">
        <v>248</v>
      </c>
      <c r="F226" s="2" t="s">
        <v>28</v>
      </c>
      <c r="G226" s="1" t="s">
        <v>28</v>
      </c>
      <c r="H226" s="7">
        <v>-5</v>
      </c>
      <c r="I226" s="71">
        <v>0</v>
      </c>
      <c r="K226" s="136"/>
      <c r="L226" s="119" t="s">
        <v>17</v>
      </c>
      <c r="M226" s="137"/>
      <c r="N226" s="136"/>
      <c r="O226" s="119"/>
      <c r="P226" s="138"/>
      <c r="Q226" s="136" t="s">
        <v>17</v>
      </c>
      <c r="R226" s="137" t="s">
        <v>29</v>
      </c>
      <c r="S226" s="38" t="s">
        <v>22</v>
      </c>
    </row>
    <row r="227" spans="2:19" ht="16.5" thickBot="1">
      <c r="C227" s="8" t="s">
        <v>267</v>
      </c>
      <c r="D227" s="88" t="s">
        <v>217</v>
      </c>
      <c r="E227" s="89" t="s">
        <v>248</v>
      </c>
      <c r="F227" s="8" t="s">
        <v>28</v>
      </c>
      <c r="G227" s="76" t="s">
        <v>28</v>
      </c>
      <c r="H227" s="10">
        <v>-5</v>
      </c>
      <c r="I227" s="73">
        <v>0</v>
      </c>
      <c r="K227" s="143"/>
      <c r="L227" s="145" t="s">
        <v>17</v>
      </c>
      <c r="M227" s="144"/>
      <c r="N227" s="143"/>
      <c r="O227" s="145"/>
      <c r="P227" s="146"/>
      <c r="Q227" s="143" t="s">
        <v>17</v>
      </c>
      <c r="R227" s="144" t="s">
        <v>29</v>
      </c>
      <c r="S227" s="49" t="s">
        <v>22</v>
      </c>
    </row>
    <row r="228" spans="2:19" ht="16.5" thickBot="1">
      <c r="C228" s="11"/>
      <c r="D228" s="92"/>
      <c r="E228" s="92"/>
      <c r="F228" s="11"/>
      <c r="G228" s="11"/>
      <c r="H228" s="11"/>
      <c r="I228" s="11"/>
    </row>
    <row r="229" spans="2:19" ht="16.5" customHeight="1" thickBot="1">
      <c r="B229" s="16" t="s">
        <v>268</v>
      </c>
      <c r="D229" s="17"/>
      <c r="E229" s="17"/>
      <c r="F229" s="266" t="s">
        <v>1</v>
      </c>
      <c r="G229" s="267"/>
      <c r="H229" s="286" t="s">
        <v>2</v>
      </c>
      <c r="I229" s="279"/>
      <c r="K229" s="262" t="s">
        <v>3</v>
      </c>
      <c r="L229" s="263"/>
      <c r="M229" s="264"/>
      <c r="N229" s="262" t="s">
        <v>4</v>
      </c>
      <c r="O229" s="263"/>
      <c r="P229" s="265"/>
      <c r="Q229" s="268" t="s">
        <v>5</v>
      </c>
      <c r="R229" s="272" t="s">
        <v>6</v>
      </c>
      <c r="S229" s="274" t="s">
        <v>7</v>
      </c>
    </row>
    <row r="230" spans="2:19" ht="16.5" thickBot="1">
      <c r="C230" s="163" t="s">
        <v>8</v>
      </c>
      <c r="D230" s="179" t="s">
        <v>9</v>
      </c>
      <c r="E230" s="180" t="s">
        <v>10</v>
      </c>
      <c r="F230" s="163" t="s">
        <v>11</v>
      </c>
      <c r="G230" s="164" t="s">
        <v>12</v>
      </c>
      <c r="H230" s="179" t="s">
        <v>3</v>
      </c>
      <c r="I230" s="164" t="s">
        <v>4</v>
      </c>
      <c r="K230" s="20">
        <v>-4</v>
      </c>
      <c r="L230" s="21">
        <v>-5</v>
      </c>
      <c r="M230" s="22">
        <v>-6</v>
      </c>
      <c r="N230" s="20">
        <v>-4</v>
      </c>
      <c r="O230" s="21">
        <v>-5</v>
      </c>
      <c r="P230" s="23">
        <v>-6</v>
      </c>
      <c r="Q230" s="269"/>
      <c r="R230" s="273"/>
      <c r="S230" s="275"/>
    </row>
    <row r="231" spans="2:19">
      <c r="C231" s="28" t="s">
        <v>269</v>
      </c>
      <c r="D231" s="158" t="s">
        <v>270</v>
      </c>
      <c r="E231" s="206" t="s">
        <v>15</v>
      </c>
      <c r="F231" s="234" t="s">
        <v>16</v>
      </c>
      <c r="G231" s="152" t="s">
        <v>16</v>
      </c>
      <c r="H231" s="204">
        <v>0</v>
      </c>
      <c r="I231" s="205">
        <v>0</v>
      </c>
      <c r="K231" s="132"/>
      <c r="L231" s="133" t="s">
        <v>21</v>
      </c>
      <c r="M231" s="134"/>
      <c r="N231" s="132"/>
      <c r="O231" s="133"/>
      <c r="P231" s="135"/>
      <c r="Q231" s="132"/>
      <c r="R231" s="134"/>
      <c r="S231" s="31" t="s">
        <v>22</v>
      </c>
    </row>
    <row r="232" spans="2:19">
      <c r="C232" s="32" t="s">
        <v>271</v>
      </c>
      <c r="D232" s="33" t="s">
        <v>270</v>
      </c>
      <c r="E232" s="95" t="s">
        <v>15</v>
      </c>
      <c r="F232" s="233" t="s">
        <v>16</v>
      </c>
      <c r="G232" s="128" t="s">
        <v>16</v>
      </c>
      <c r="H232" s="120">
        <v>0</v>
      </c>
      <c r="I232" s="194">
        <v>0</v>
      </c>
      <c r="K232" s="136" t="s">
        <v>21</v>
      </c>
      <c r="L232" s="119"/>
      <c r="M232" s="137"/>
      <c r="N232" s="136"/>
      <c r="O232" s="119"/>
      <c r="P232" s="138"/>
      <c r="Q232" s="136"/>
      <c r="R232" s="137"/>
      <c r="S232" s="38" t="s">
        <v>22</v>
      </c>
    </row>
    <row r="233" spans="2:19">
      <c r="C233" s="32" t="s">
        <v>272</v>
      </c>
      <c r="D233" s="33" t="s">
        <v>270</v>
      </c>
      <c r="E233" s="95" t="s">
        <v>15</v>
      </c>
      <c r="F233" s="233" t="s">
        <v>16</v>
      </c>
      <c r="G233" s="128" t="s">
        <v>16</v>
      </c>
      <c r="H233" s="120">
        <v>0</v>
      </c>
      <c r="I233" s="194">
        <v>0</v>
      </c>
      <c r="K233" s="136"/>
      <c r="L233" s="119" t="s">
        <v>273</v>
      </c>
      <c r="M233" s="137" t="s">
        <v>21</v>
      </c>
      <c r="N233" s="136"/>
      <c r="O233" s="119"/>
      <c r="P233" s="138"/>
      <c r="Q233" s="136"/>
      <c r="R233" s="137"/>
      <c r="S233" s="38" t="s">
        <v>22</v>
      </c>
    </row>
    <row r="234" spans="2:19">
      <c r="C234" s="32" t="s">
        <v>274</v>
      </c>
      <c r="D234" s="33" t="s">
        <v>275</v>
      </c>
      <c r="E234" s="95" t="s">
        <v>15</v>
      </c>
      <c r="F234" s="233" t="s">
        <v>16</v>
      </c>
      <c r="G234" s="128" t="s">
        <v>16</v>
      </c>
      <c r="H234" s="120">
        <v>0</v>
      </c>
      <c r="I234" s="194">
        <v>0</v>
      </c>
      <c r="K234" s="136"/>
      <c r="L234" s="119" t="s">
        <v>21</v>
      </c>
      <c r="M234" s="137"/>
      <c r="N234" s="136"/>
      <c r="O234" s="119"/>
      <c r="P234" s="138"/>
      <c r="Q234" s="136"/>
      <c r="R234" s="137"/>
      <c r="S234" s="38" t="s">
        <v>22</v>
      </c>
    </row>
    <row r="235" spans="2:19" ht="16.5" thickBot="1">
      <c r="C235" s="39" t="s">
        <v>276</v>
      </c>
      <c r="D235" s="40" t="s">
        <v>275</v>
      </c>
      <c r="E235" s="96" t="s">
        <v>15</v>
      </c>
      <c r="F235" s="235" t="s">
        <v>16</v>
      </c>
      <c r="G235" s="153" t="s">
        <v>16</v>
      </c>
      <c r="H235" s="203">
        <v>0</v>
      </c>
      <c r="I235" s="200">
        <v>0</v>
      </c>
      <c r="K235" s="139"/>
      <c r="L235" s="140" t="s">
        <v>21</v>
      </c>
      <c r="M235" s="141"/>
      <c r="N235" s="139"/>
      <c r="O235" s="140"/>
      <c r="P235" s="142"/>
      <c r="Q235" s="143"/>
      <c r="R235" s="144"/>
      <c r="S235" s="46" t="s">
        <v>22</v>
      </c>
    </row>
    <row r="236" spans="2:19">
      <c r="C236" s="24" t="s">
        <v>277</v>
      </c>
      <c r="D236" s="25" t="s">
        <v>270</v>
      </c>
      <c r="E236" s="93" t="s">
        <v>278</v>
      </c>
      <c r="F236" s="234" t="s">
        <v>16</v>
      </c>
      <c r="G236" s="152" t="s">
        <v>16</v>
      </c>
      <c r="H236" s="204">
        <v>0</v>
      </c>
      <c r="I236" s="205">
        <v>0</v>
      </c>
      <c r="K236" s="132"/>
      <c r="L236" s="133"/>
      <c r="M236" s="134" t="s">
        <v>21</v>
      </c>
      <c r="N236" s="132"/>
      <c r="O236" s="133"/>
      <c r="P236" s="135"/>
      <c r="Q236" s="132"/>
      <c r="R236" s="134"/>
      <c r="S236" s="31" t="s">
        <v>22</v>
      </c>
    </row>
    <row r="237" spans="2:19">
      <c r="C237" s="32" t="s">
        <v>279</v>
      </c>
      <c r="D237" s="33" t="s">
        <v>270</v>
      </c>
      <c r="E237" s="95" t="s">
        <v>278</v>
      </c>
      <c r="F237" s="56" t="s">
        <v>28</v>
      </c>
      <c r="G237" s="57" t="s">
        <v>28</v>
      </c>
      <c r="H237" s="7">
        <v>-6</v>
      </c>
      <c r="I237" s="71">
        <v>-5</v>
      </c>
      <c r="K237" s="136"/>
      <c r="L237" s="119"/>
      <c r="M237" s="137" t="s">
        <v>29</v>
      </c>
      <c r="N237" s="136"/>
      <c r="O237" s="119" t="s">
        <v>30</v>
      </c>
      <c r="P237" s="138"/>
      <c r="Q237" s="136" t="s">
        <v>17</v>
      </c>
      <c r="R237" s="137">
        <v>1</v>
      </c>
      <c r="S237" s="38"/>
    </row>
    <row r="238" spans="2:19">
      <c r="C238" s="32" t="s">
        <v>280</v>
      </c>
      <c r="D238" s="33" t="s">
        <v>270</v>
      </c>
      <c r="E238" s="95" t="s">
        <v>278</v>
      </c>
      <c r="F238" s="56" t="s">
        <v>28</v>
      </c>
      <c r="G238" s="57" t="s">
        <v>28</v>
      </c>
      <c r="H238" s="7">
        <v>-6</v>
      </c>
      <c r="I238" s="71">
        <v>-5</v>
      </c>
      <c r="K238" s="136"/>
      <c r="L238" s="119"/>
      <c r="M238" s="137" t="s">
        <v>29</v>
      </c>
      <c r="N238" s="136"/>
      <c r="O238" s="119" t="s">
        <v>30</v>
      </c>
      <c r="P238" s="138"/>
      <c r="Q238" s="136" t="s">
        <v>17</v>
      </c>
      <c r="R238" s="137">
        <v>1</v>
      </c>
      <c r="S238" s="38"/>
    </row>
    <row r="239" spans="2:19">
      <c r="C239" s="32" t="s">
        <v>281</v>
      </c>
      <c r="D239" s="33" t="s">
        <v>270</v>
      </c>
      <c r="E239" s="95" t="s">
        <v>278</v>
      </c>
      <c r="F239" s="56" t="s">
        <v>28</v>
      </c>
      <c r="G239" s="57" t="s">
        <v>28</v>
      </c>
      <c r="H239" s="7">
        <v>-6</v>
      </c>
      <c r="I239" s="71">
        <v>-4</v>
      </c>
      <c r="K239" s="136"/>
      <c r="L239" s="119"/>
      <c r="M239" s="137" t="s">
        <v>29</v>
      </c>
      <c r="N239" s="136" t="s">
        <v>30</v>
      </c>
      <c r="O239" s="119"/>
      <c r="P239" s="138"/>
      <c r="Q239" s="136" t="s">
        <v>17</v>
      </c>
      <c r="R239" s="137">
        <v>1</v>
      </c>
      <c r="S239" s="38"/>
    </row>
    <row r="240" spans="2:19">
      <c r="C240" s="32" t="s">
        <v>282</v>
      </c>
      <c r="D240" s="33" t="s">
        <v>270</v>
      </c>
      <c r="E240" s="95" t="s">
        <v>278</v>
      </c>
      <c r="F240" s="56" t="s">
        <v>16</v>
      </c>
      <c r="G240" s="130" t="s">
        <v>16</v>
      </c>
      <c r="H240" s="120">
        <v>0</v>
      </c>
      <c r="I240" s="194">
        <v>0</v>
      </c>
      <c r="K240" s="136"/>
      <c r="L240" s="119"/>
      <c r="M240" s="137" t="s">
        <v>21</v>
      </c>
      <c r="N240" s="136"/>
      <c r="O240" s="119"/>
      <c r="P240" s="138"/>
      <c r="Q240" s="136"/>
      <c r="R240" s="137"/>
      <c r="S240" s="38" t="s">
        <v>22</v>
      </c>
    </row>
    <row r="241" spans="3:19">
      <c r="C241" s="32" t="s">
        <v>283</v>
      </c>
      <c r="D241" s="33" t="s">
        <v>270</v>
      </c>
      <c r="E241" s="95" t="s">
        <v>278</v>
      </c>
      <c r="F241" s="56" t="s">
        <v>28</v>
      </c>
      <c r="G241" s="57" t="s">
        <v>28</v>
      </c>
      <c r="H241" s="7">
        <v>-6</v>
      </c>
      <c r="I241" s="71">
        <v>-4</v>
      </c>
      <c r="K241" s="136"/>
      <c r="L241" s="119"/>
      <c r="M241" s="137" t="s">
        <v>29</v>
      </c>
      <c r="N241" s="136" t="s">
        <v>30</v>
      </c>
      <c r="O241" s="119"/>
      <c r="P241" s="138"/>
      <c r="Q241" s="136" t="s">
        <v>17</v>
      </c>
      <c r="R241" s="137">
        <v>1</v>
      </c>
      <c r="S241" s="38"/>
    </row>
    <row r="242" spans="3:19">
      <c r="C242" s="32" t="s">
        <v>284</v>
      </c>
      <c r="D242" s="33" t="s">
        <v>270</v>
      </c>
      <c r="E242" s="95" t="s">
        <v>278</v>
      </c>
      <c r="F242" s="56" t="s">
        <v>28</v>
      </c>
      <c r="G242" s="57" t="s">
        <v>28</v>
      </c>
      <c r="H242" s="7">
        <v>-6</v>
      </c>
      <c r="I242" s="71">
        <v>-5</v>
      </c>
      <c r="K242" s="136"/>
      <c r="L242" s="119"/>
      <c r="M242" s="137" t="s">
        <v>29</v>
      </c>
      <c r="N242" s="136"/>
      <c r="O242" s="119" t="s">
        <v>30</v>
      </c>
      <c r="P242" s="138"/>
      <c r="Q242" s="136" t="s">
        <v>17</v>
      </c>
      <c r="R242" s="137">
        <v>1</v>
      </c>
      <c r="S242" s="38"/>
    </row>
    <row r="243" spans="3:19">
      <c r="C243" s="32" t="s">
        <v>285</v>
      </c>
      <c r="D243" s="33" t="s">
        <v>270</v>
      </c>
      <c r="E243" s="95" t="s">
        <v>278</v>
      </c>
      <c r="F243" s="56" t="s">
        <v>16</v>
      </c>
      <c r="G243" s="130" t="s">
        <v>16</v>
      </c>
      <c r="H243" s="120">
        <v>0</v>
      </c>
      <c r="I243" s="194">
        <v>0</v>
      </c>
      <c r="K243" s="136"/>
      <c r="L243" s="119" t="s">
        <v>21</v>
      </c>
      <c r="M243" s="137"/>
      <c r="N243" s="136"/>
      <c r="O243" s="119"/>
      <c r="P243" s="138"/>
      <c r="Q243" s="136"/>
      <c r="R243" s="137"/>
      <c r="S243" s="38" t="s">
        <v>22</v>
      </c>
    </row>
    <row r="244" spans="3:19">
      <c r="C244" s="32" t="s">
        <v>286</v>
      </c>
      <c r="D244" s="33" t="s">
        <v>270</v>
      </c>
      <c r="E244" s="95" t="s">
        <v>278</v>
      </c>
      <c r="F244" s="56" t="s">
        <v>16</v>
      </c>
      <c r="G244" s="130" t="s">
        <v>16</v>
      </c>
      <c r="H244" s="120">
        <v>0</v>
      </c>
      <c r="I244" s="194">
        <v>0</v>
      </c>
      <c r="K244" s="136"/>
      <c r="L244" s="119" t="s">
        <v>21</v>
      </c>
      <c r="M244" s="137"/>
      <c r="N244" s="136" t="s">
        <v>29</v>
      </c>
      <c r="O244" s="119"/>
      <c r="P244" s="138"/>
      <c r="Q244" s="136"/>
      <c r="R244" s="137"/>
      <c r="S244" s="38" t="s">
        <v>287</v>
      </c>
    </row>
    <row r="245" spans="3:19" ht="16.5" thickBot="1">
      <c r="C245" s="39" t="s">
        <v>288</v>
      </c>
      <c r="D245" s="40" t="s">
        <v>270</v>
      </c>
      <c r="E245" s="96" t="s">
        <v>278</v>
      </c>
      <c r="F245" s="60" t="s">
        <v>16</v>
      </c>
      <c r="G245" s="207" t="s">
        <v>16</v>
      </c>
      <c r="H245" s="203">
        <v>0</v>
      </c>
      <c r="I245" s="200">
        <v>0</v>
      </c>
      <c r="K245" s="143"/>
      <c r="L245" s="145" t="s">
        <v>21</v>
      </c>
      <c r="M245" s="144"/>
      <c r="N245" s="143"/>
      <c r="O245" s="145"/>
      <c r="P245" s="146"/>
      <c r="Q245" s="143"/>
      <c r="R245" s="144"/>
      <c r="S245" s="49"/>
    </row>
    <row r="246" spans="3:19">
      <c r="C246" s="24" t="s">
        <v>289</v>
      </c>
      <c r="D246" s="25" t="s">
        <v>275</v>
      </c>
      <c r="E246" s="93" t="s">
        <v>278</v>
      </c>
      <c r="F246" s="51" t="s">
        <v>28</v>
      </c>
      <c r="G246" s="52" t="s">
        <v>28</v>
      </c>
      <c r="H246" s="6">
        <v>0</v>
      </c>
      <c r="I246" s="68">
        <v>-4</v>
      </c>
      <c r="K246" s="147"/>
      <c r="L246" s="148"/>
      <c r="M246" s="149" t="s">
        <v>29</v>
      </c>
      <c r="N246" s="147" t="s">
        <v>30</v>
      </c>
      <c r="O246" s="148"/>
      <c r="P246" s="150"/>
      <c r="Q246" s="132" t="s">
        <v>30</v>
      </c>
      <c r="R246" s="134">
        <v>2</v>
      </c>
      <c r="S246" s="50"/>
    </row>
    <row r="247" spans="3:19">
      <c r="C247" s="32" t="s">
        <v>290</v>
      </c>
      <c r="D247" s="33" t="s">
        <v>275</v>
      </c>
      <c r="E247" s="95" t="s">
        <v>278</v>
      </c>
      <c r="F247" s="56" t="s">
        <v>28</v>
      </c>
      <c r="G247" s="57" t="s">
        <v>28</v>
      </c>
      <c r="H247" s="7">
        <v>0</v>
      </c>
      <c r="I247" s="71">
        <v>-4</v>
      </c>
      <c r="K247" s="136"/>
      <c r="L247" s="119" t="s">
        <v>29</v>
      </c>
      <c r="M247" s="137"/>
      <c r="N247" s="136" t="s">
        <v>30</v>
      </c>
      <c r="O247" s="119"/>
      <c r="P247" s="138"/>
      <c r="Q247" s="136" t="s">
        <v>30</v>
      </c>
      <c r="R247" s="137">
        <v>2</v>
      </c>
      <c r="S247" s="38"/>
    </row>
    <row r="248" spans="3:19">
      <c r="C248" s="32" t="s">
        <v>291</v>
      </c>
      <c r="D248" s="33" t="s">
        <v>275</v>
      </c>
      <c r="E248" s="95" t="s">
        <v>278</v>
      </c>
      <c r="F248" s="56" t="s">
        <v>28</v>
      </c>
      <c r="G248" s="57" t="s">
        <v>28</v>
      </c>
      <c r="H248" s="7">
        <v>0</v>
      </c>
      <c r="I248" s="71">
        <v>-4</v>
      </c>
      <c r="K248" s="136"/>
      <c r="L248" s="119" t="s">
        <v>29</v>
      </c>
      <c r="M248" s="137"/>
      <c r="N248" s="136" t="s">
        <v>30</v>
      </c>
      <c r="O248" s="119"/>
      <c r="P248" s="138"/>
      <c r="Q248" s="136" t="s">
        <v>30</v>
      </c>
      <c r="R248" s="137">
        <v>2</v>
      </c>
      <c r="S248" s="38"/>
    </row>
    <row r="249" spans="3:19">
      <c r="C249" s="32" t="s">
        <v>292</v>
      </c>
      <c r="D249" s="33" t="s">
        <v>275</v>
      </c>
      <c r="E249" s="95" t="s">
        <v>278</v>
      </c>
      <c r="F249" s="56" t="s">
        <v>16</v>
      </c>
      <c r="G249" s="130" t="s">
        <v>16</v>
      </c>
      <c r="H249" s="120">
        <v>0</v>
      </c>
      <c r="I249" s="194">
        <v>0</v>
      </c>
      <c r="K249" s="136"/>
      <c r="L249" s="119" t="s">
        <v>21</v>
      </c>
      <c r="M249" s="137"/>
      <c r="N249" s="136"/>
      <c r="O249" s="119"/>
      <c r="P249" s="138"/>
      <c r="Q249" s="136"/>
      <c r="R249" s="137"/>
      <c r="S249" s="38" t="s">
        <v>22</v>
      </c>
    </row>
    <row r="250" spans="3:19">
      <c r="C250" s="32" t="s">
        <v>293</v>
      </c>
      <c r="D250" s="33" t="s">
        <v>275</v>
      </c>
      <c r="E250" s="95" t="s">
        <v>278</v>
      </c>
      <c r="F250" s="56" t="s">
        <v>28</v>
      </c>
      <c r="G250" s="57" t="s">
        <v>28</v>
      </c>
      <c r="H250" s="7">
        <v>0</v>
      </c>
      <c r="I250" s="71">
        <v>-4</v>
      </c>
      <c r="K250" s="136"/>
      <c r="L250" s="119" t="s">
        <v>29</v>
      </c>
      <c r="M250" s="137"/>
      <c r="N250" s="136" t="s">
        <v>30</v>
      </c>
      <c r="O250" s="119"/>
      <c r="P250" s="138"/>
      <c r="Q250" s="136" t="s">
        <v>30</v>
      </c>
      <c r="R250" s="137">
        <v>2</v>
      </c>
      <c r="S250" s="38"/>
    </row>
    <row r="251" spans="3:19">
      <c r="C251" s="32" t="s">
        <v>294</v>
      </c>
      <c r="D251" s="33" t="s">
        <v>275</v>
      </c>
      <c r="E251" s="95" t="s">
        <v>278</v>
      </c>
      <c r="F251" s="56" t="s">
        <v>16</v>
      </c>
      <c r="G251" s="130" t="s">
        <v>16</v>
      </c>
      <c r="H251" s="120">
        <v>0</v>
      </c>
      <c r="I251" s="194">
        <v>0</v>
      </c>
      <c r="K251" s="136"/>
      <c r="L251" s="119" t="s">
        <v>295</v>
      </c>
      <c r="M251" s="137"/>
      <c r="N251" s="136" t="s">
        <v>59</v>
      </c>
      <c r="O251" s="119"/>
      <c r="P251" s="138"/>
      <c r="Q251" s="136"/>
      <c r="R251" s="137"/>
      <c r="S251" s="38"/>
    </row>
    <row r="252" spans="3:19">
      <c r="C252" s="32" t="s">
        <v>296</v>
      </c>
      <c r="D252" s="33" t="s">
        <v>275</v>
      </c>
      <c r="E252" s="95" t="s">
        <v>278</v>
      </c>
      <c r="F252" s="56" t="s">
        <v>16</v>
      </c>
      <c r="G252" s="130" t="s">
        <v>16</v>
      </c>
      <c r="H252" s="120">
        <v>0</v>
      </c>
      <c r="I252" s="194">
        <v>0</v>
      </c>
      <c r="K252" s="136"/>
      <c r="L252" s="119" t="s">
        <v>21</v>
      </c>
      <c r="M252" s="137"/>
      <c r="N252" s="136"/>
      <c r="O252" s="119"/>
      <c r="P252" s="138"/>
      <c r="Q252" s="136"/>
      <c r="R252" s="137"/>
      <c r="S252" s="38" t="s">
        <v>22</v>
      </c>
    </row>
    <row r="253" spans="3:19">
      <c r="C253" s="32" t="s">
        <v>297</v>
      </c>
      <c r="D253" s="33" t="s">
        <v>275</v>
      </c>
      <c r="E253" s="95" t="s">
        <v>278</v>
      </c>
      <c r="F253" s="56" t="s">
        <v>28</v>
      </c>
      <c r="G253" s="57" t="s">
        <v>28</v>
      </c>
      <c r="H253" s="7">
        <v>0</v>
      </c>
      <c r="I253" s="71">
        <v>-4</v>
      </c>
      <c r="K253" s="136"/>
      <c r="L253" s="119" t="s">
        <v>29</v>
      </c>
      <c r="M253" s="137"/>
      <c r="N253" s="136" t="s">
        <v>30</v>
      </c>
      <c r="O253" s="119"/>
      <c r="P253" s="138"/>
      <c r="Q253" s="136" t="s">
        <v>30</v>
      </c>
      <c r="R253" s="137">
        <v>2</v>
      </c>
      <c r="S253" s="38"/>
    </row>
    <row r="254" spans="3:19">
      <c r="C254" s="32" t="s">
        <v>298</v>
      </c>
      <c r="D254" s="33" t="s">
        <v>275</v>
      </c>
      <c r="E254" s="95" t="s">
        <v>278</v>
      </c>
      <c r="F254" s="56" t="s">
        <v>28</v>
      </c>
      <c r="G254" s="57" t="s">
        <v>28</v>
      </c>
      <c r="H254" s="7">
        <v>-5</v>
      </c>
      <c r="I254" s="71">
        <v>-4</v>
      </c>
      <c r="K254" s="136"/>
      <c r="L254" s="119" t="s">
        <v>17</v>
      </c>
      <c r="M254" s="137"/>
      <c r="N254" s="136" t="s">
        <v>30</v>
      </c>
      <c r="O254" s="119"/>
      <c r="P254" s="138"/>
      <c r="Q254" s="136" t="s">
        <v>30</v>
      </c>
      <c r="R254" s="137">
        <v>2</v>
      </c>
      <c r="S254" s="38"/>
    </row>
    <row r="255" spans="3:19" ht="16.5" thickBot="1">
      <c r="C255" s="39" t="s">
        <v>299</v>
      </c>
      <c r="D255" s="40" t="s">
        <v>275</v>
      </c>
      <c r="E255" s="96" t="s">
        <v>278</v>
      </c>
      <c r="F255" s="60" t="s">
        <v>16</v>
      </c>
      <c r="G255" s="207" t="s">
        <v>16</v>
      </c>
      <c r="H255" s="203">
        <v>0</v>
      </c>
      <c r="I255" s="200">
        <v>0</v>
      </c>
      <c r="K255" s="143"/>
      <c r="L255" s="145"/>
      <c r="M255" s="144" t="s">
        <v>21</v>
      </c>
      <c r="N255" s="143"/>
      <c r="O255" s="145"/>
      <c r="P255" s="146"/>
      <c r="Q255" s="143"/>
      <c r="R255" s="144"/>
      <c r="S255" s="49" t="s">
        <v>22</v>
      </c>
    </row>
    <row r="256" spans="3:19" ht="16.5" thickBot="1"/>
    <row r="257" spans="2:19" ht="16.5" customHeight="1" thickBot="1">
      <c r="B257" s="16" t="s">
        <v>300</v>
      </c>
      <c r="D257" s="17"/>
      <c r="E257" s="17"/>
      <c r="F257" s="276" t="s">
        <v>1</v>
      </c>
      <c r="G257" s="277"/>
      <c r="H257" s="288" t="s">
        <v>2</v>
      </c>
      <c r="I257" s="289"/>
      <c r="K257" s="262" t="s">
        <v>3</v>
      </c>
      <c r="L257" s="263"/>
      <c r="M257" s="264"/>
      <c r="N257" s="262" t="s">
        <v>4</v>
      </c>
      <c r="O257" s="263"/>
      <c r="P257" s="265"/>
      <c r="Q257" s="268" t="s">
        <v>5</v>
      </c>
      <c r="R257" s="272" t="s">
        <v>6</v>
      </c>
      <c r="S257" s="274" t="s">
        <v>7</v>
      </c>
    </row>
    <row r="258" spans="2:19" ht="16.5" thickBot="1">
      <c r="C258" s="163" t="s">
        <v>8</v>
      </c>
      <c r="D258" s="179" t="s">
        <v>9</v>
      </c>
      <c r="E258" s="180" t="s">
        <v>10</v>
      </c>
      <c r="F258" s="163" t="s">
        <v>11</v>
      </c>
      <c r="G258" s="164" t="s">
        <v>12</v>
      </c>
      <c r="H258" s="171" t="s">
        <v>3</v>
      </c>
      <c r="I258" s="172" t="s">
        <v>4</v>
      </c>
      <c r="K258" s="20">
        <v>-4</v>
      </c>
      <c r="L258" s="21">
        <v>-5</v>
      </c>
      <c r="M258" s="22">
        <v>-6</v>
      </c>
      <c r="N258" s="20">
        <v>-4</v>
      </c>
      <c r="O258" s="21">
        <v>-5</v>
      </c>
      <c r="P258" s="23">
        <v>-6</v>
      </c>
      <c r="Q258" s="269"/>
      <c r="R258" s="273"/>
      <c r="S258" s="275"/>
    </row>
    <row r="259" spans="2:19">
      <c r="C259" s="24" t="s">
        <v>301</v>
      </c>
      <c r="D259" s="25" t="s">
        <v>270</v>
      </c>
      <c r="E259" s="26" t="s">
        <v>15</v>
      </c>
      <c r="F259" s="233" t="s">
        <v>16</v>
      </c>
      <c r="G259" s="128" t="s">
        <v>16</v>
      </c>
      <c r="H259" s="195">
        <v>0</v>
      </c>
      <c r="I259" s="196">
        <v>0</v>
      </c>
      <c r="K259" s="132" t="s">
        <v>21</v>
      </c>
      <c r="L259" s="133"/>
      <c r="M259" s="134"/>
      <c r="N259" s="132"/>
      <c r="O259" s="133"/>
      <c r="P259" s="135"/>
      <c r="Q259" s="132"/>
      <c r="R259" s="134"/>
      <c r="S259" s="31" t="s">
        <v>22</v>
      </c>
    </row>
    <row r="260" spans="2:19">
      <c r="C260" s="32" t="s">
        <v>302</v>
      </c>
      <c r="D260" s="33" t="s">
        <v>270</v>
      </c>
      <c r="E260" s="34" t="s">
        <v>15</v>
      </c>
      <c r="F260" s="233" t="s">
        <v>16</v>
      </c>
      <c r="G260" s="128" t="s">
        <v>16</v>
      </c>
      <c r="H260" s="125">
        <v>0</v>
      </c>
      <c r="I260" s="194">
        <v>0</v>
      </c>
      <c r="K260" s="136"/>
      <c r="L260" s="119" t="s">
        <v>21</v>
      </c>
      <c r="M260" s="137"/>
      <c r="N260" s="136"/>
      <c r="O260" s="119"/>
      <c r="P260" s="138"/>
      <c r="Q260" s="136"/>
      <c r="R260" s="137"/>
      <c r="S260" s="38" t="s">
        <v>22</v>
      </c>
    </row>
    <row r="261" spans="2:19">
      <c r="C261" s="32" t="s">
        <v>303</v>
      </c>
      <c r="D261" s="33" t="s">
        <v>270</v>
      </c>
      <c r="E261" s="34" t="s">
        <v>15</v>
      </c>
      <c r="F261" s="233" t="s">
        <v>16</v>
      </c>
      <c r="G261" s="128" t="s">
        <v>16</v>
      </c>
      <c r="H261" s="125">
        <v>0</v>
      </c>
      <c r="I261" s="194">
        <v>0</v>
      </c>
      <c r="K261" s="136" t="s">
        <v>304</v>
      </c>
      <c r="L261" s="119" t="s">
        <v>29</v>
      </c>
      <c r="M261" s="137"/>
      <c r="N261" s="136"/>
      <c r="O261" s="119"/>
      <c r="P261" s="138"/>
      <c r="Q261" s="136"/>
      <c r="R261" s="137"/>
      <c r="S261" s="38" t="s">
        <v>22</v>
      </c>
    </row>
    <row r="262" spans="2:19">
      <c r="C262" s="32" t="s">
        <v>305</v>
      </c>
      <c r="D262" s="33" t="s">
        <v>275</v>
      </c>
      <c r="E262" s="34" t="s">
        <v>15</v>
      </c>
      <c r="F262" s="233" t="s">
        <v>16</v>
      </c>
      <c r="G262" s="128" t="s">
        <v>16</v>
      </c>
      <c r="H262" s="125">
        <v>0</v>
      </c>
      <c r="I262" s="194">
        <v>0</v>
      </c>
      <c r="K262" s="136"/>
      <c r="L262" s="119"/>
      <c r="M262" s="137" t="s">
        <v>306</v>
      </c>
      <c r="N262" s="136"/>
      <c r="O262" s="119"/>
      <c r="P262" s="138" t="s">
        <v>307</v>
      </c>
      <c r="Q262" s="136"/>
      <c r="R262" s="137"/>
      <c r="S262" s="38"/>
    </row>
    <row r="263" spans="2:19" ht="16.5" thickBot="1">
      <c r="C263" s="39" t="s">
        <v>308</v>
      </c>
      <c r="D263" s="40" t="s">
        <v>275</v>
      </c>
      <c r="E263" s="41" t="s">
        <v>15</v>
      </c>
      <c r="F263" s="233" t="s">
        <v>16</v>
      </c>
      <c r="G263" s="128" t="s">
        <v>16</v>
      </c>
      <c r="H263" s="126">
        <v>0</v>
      </c>
      <c r="I263" s="200">
        <v>0</v>
      </c>
      <c r="K263" s="139"/>
      <c r="L263" s="140"/>
      <c r="M263" s="141" t="s">
        <v>309</v>
      </c>
      <c r="N263" s="139" t="s">
        <v>310</v>
      </c>
      <c r="O263" s="140"/>
      <c r="P263" s="142"/>
      <c r="Q263" s="143"/>
      <c r="R263" s="144"/>
      <c r="S263" s="46"/>
    </row>
    <row r="264" spans="2:19">
      <c r="C264" s="24" t="s">
        <v>311</v>
      </c>
      <c r="D264" s="25" t="s">
        <v>270</v>
      </c>
      <c r="E264" s="26" t="s">
        <v>312</v>
      </c>
      <c r="F264" s="51" t="s">
        <v>28</v>
      </c>
      <c r="G264" s="55" t="s">
        <v>28</v>
      </c>
      <c r="H264" s="6">
        <v>-5</v>
      </c>
      <c r="I264" s="68">
        <v>-5</v>
      </c>
      <c r="K264" s="132"/>
      <c r="L264" s="133" t="s">
        <v>29</v>
      </c>
      <c r="M264" s="134"/>
      <c r="N264" s="132"/>
      <c r="O264" s="133" t="s">
        <v>30</v>
      </c>
      <c r="P264" s="135"/>
      <c r="Q264" s="132" t="s">
        <v>17</v>
      </c>
      <c r="R264" s="134" t="s">
        <v>29</v>
      </c>
      <c r="S264" s="31"/>
    </row>
    <row r="265" spans="2:19">
      <c r="C265" s="32" t="s">
        <v>313</v>
      </c>
      <c r="D265" s="33" t="s">
        <v>270</v>
      </c>
      <c r="E265" s="34" t="s">
        <v>312</v>
      </c>
      <c r="F265" s="56" t="s">
        <v>28</v>
      </c>
      <c r="G265" s="59" t="s">
        <v>28</v>
      </c>
      <c r="H265" s="7">
        <v>-5</v>
      </c>
      <c r="I265" s="71">
        <v>-4</v>
      </c>
      <c r="K265" s="136"/>
      <c r="L265" s="119" t="s">
        <v>29</v>
      </c>
      <c r="M265" s="137"/>
      <c r="N265" s="136" t="s">
        <v>30</v>
      </c>
      <c r="O265" s="119"/>
      <c r="P265" s="138"/>
      <c r="Q265" s="136" t="s">
        <v>17</v>
      </c>
      <c r="R265" s="137" t="s">
        <v>29</v>
      </c>
      <c r="S265" s="38"/>
    </row>
    <row r="266" spans="2:19">
      <c r="C266" s="32" t="s">
        <v>314</v>
      </c>
      <c r="D266" s="33" t="s">
        <v>270</v>
      </c>
      <c r="E266" s="34" t="s">
        <v>312</v>
      </c>
      <c r="F266" s="56" t="s">
        <v>28</v>
      </c>
      <c r="G266" s="59" t="s">
        <v>28</v>
      </c>
      <c r="H266" s="7">
        <v>-5</v>
      </c>
      <c r="I266" s="71">
        <v>-5</v>
      </c>
      <c r="K266" s="136"/>
      <c r="L266" s="119" t="s">
        <v>29</v>
      </c>
      <c r="M266" s="137"/>
      <c r="N266" s="136"/>
      <c r="O266" s="119" t="s">
        <v>30</v>
      </c>
      <c r="P266" s="138"/>
      <c r="Q266" s="136" t="s">
        <v>17</v>
      </c>
      <c r="R266" s="137" t="s">
        <v>29</v>
      </c>
      <c r="S266" s="38"/>
    </row>
    <row r="267" spans="2:19">
      <c r="C267" s="32" t="s">
        <v>315</v>
      </c>
      <c r="D267" s="33" t="s">
        <v>270</v>
      </c>
      <c r="E267" s="34" t="s">
        <v>312</v>
      </c>
      <c r="F267" s="56" t="s">
        <v>28</v>
      </c>
      <c r="G267" s="59" t="s">
        <v>28</v>
      </c>
      <c r="H267" s="7">
        <v>-6</v>
      </c>
      <c r="I267" s="71">
        <v>-5</v>
      </c>
      <c r="K267" s="136"/>
      <c r="L267" s="119"/>
      <c r="M267" s="137" t="s">
        <v>29</v>
      </c>
      <c r="N267" s="136"/>
      <c r="O267" s="119" t="s">
        <v>30</v>
      </c>
      <c r="P267" s="138"/>
      <c r="Q267" s="136" t="s">
        <v>17</v>
      </c>
      <c r="R267" s="137" t="s">
        <v>29</v>
      </c>
      <c r="S267" s="38"/>
    </row>
    <row r="268" spans="2:19">
      <c r="C268" s="32" t="s">
        <v>316</v>
      </c>
      <c r="D268" s="33" t="s">
        <v>270</v>
      </c>
      <c r="E268" s="34" t="s">
        <v>312</v>
      </c>
      <c r="F268" s="56" t="s">
        <v>28</v>
      </c>
      <c r="G268" s="59" t="s">
        <v>28</v>
      </c>
      <c r="H268" s="7">
        <v>-5</v>
      </c>
      <c r="I268" s="71">
        <v>-4</v>
      </c>
      <c r="K268" s="136"/>
      <c r="L268" s="119" t="s">
        <v>29</v>
      </c>
      <c r="M268" s="137"/>
      <c r="N268" s="136" t="s">
        <v>30</v>
      </c>
      <c r="O268" s="119"/>
      <c r="P268" s="138"/>
      <c r="Q268" s="136" t="s">
        <v>17</v>
      </c>
      <c r="R268" s="137" t="s">
        <v>29</v>
      </c>
      <c r="S268" s="38"/>
    </row>
    <row r="269" spans="2:19">
      <c r="C269" s="32" t="s">
        <v>317</v>
      </c>
      <c r="D269" s="33" t="s">
        <v>270</v>
      </c>
      <c r="E269" s="34" t="s">
        <v>312</v>
      </c>
      <c r="F269" s="56" t="s">
        <v>28</v>
      </c>
      <c r="G269" s="59" t="s">
        <v>28</v>
      </c>
      <c r="H269" s="7">
        <v>-6</v>
      </c>
      <c r="I269" s="71">
        <v>-5</v>
      </c>
      <c r="K269" s="136"/>
      <c r="L269" s="119"/>
      <c r="M269" s="137" t="s">
        <v>29</v>
      </c>
      <c r="N269" s="136"/>
      <c r="O269" s="119" t="s">
        <v>30</v>
      </c>
      <c r="P269" s="138"/>
      <c r="Q269" s="136" t="s">
        <v>17</v>
      </c>
      <c r="R269" s="137" t="s">
        <v>29</v>
      </c>
      <c r="S269" s="38"/>
    </row>
    <row r="270" spans="2:19">
      <c r="C270" s="32" t="s">
        <v>318</v>
      </c>
      <c r="D270" s="33" t="s">
        <v>270</v>
      </c>
      <c r="E270" s="34" t="s">
        <v>312</v>
      </c>
      <c r="F270" s="56" t="s">
        <v>28</v>
      </c>
      <c r="G270" s="59" t="s">
        <v>28</v>
      </c>
      <c r="H270" s="7">
        <v>-6</v>
      </c>
      <c r="I270" s="71">
        <v>-4</v>
      </c>
      <c r="K270" s="136"/>
      <c r="L270" s="119"/>
      <c r="M270" s="137" t="s">
        <v>29</v>
      </c>
      <c r="N270" s="136" t="s">
        <v>30</v>
      </c>
      <c r="O270" s="119"/>
      <c r="P270" s="138"/>
      <c r="Q270" s="136" t="s">
        <v>17</v>
      </c>
      <c r="R270" s="137" t="s">
        <v>29</v>
      </c>
      <c r="S270" s="38"/>
    </row>
    <row r="271" spans="2:19">
      <c r="C271" s="32" t="s">
        <v>319</v>
      </c>
      <c r="D271" s="33" t="s">
        <v>270</v>
      </c>
      <c r="E271" s="34" t="s">
        <v>312</v>
      </c>
      <c r="F271" s="56" t="s">
        <v>28</v>
      </c>
      <c r="G271" s="59" t="s">
        <v>28</v>
      </c>
      <c r="H271" s="7">
        <v>-6</v>
      </c>
      <c r="I271" s="71">
        <v>-4</v>
      </c>
      <c r="K271" s="136"/>
      <c r="L271" s="119"/>
      <c r="M271" s="137" t="s">
        <v>29</v>
      </c>
      <c r="N271" s="136" t="s">
        <v>30</v>
      </c>
      <c r="O271" s="119"/>
      <c r="P271" s="138"/>
      <c r="Q271" s="136" t="s">
        <v>17</v>
      </c>
      <c r="R271" s="137" t="s">
        <v>29</v>
      </c>
      <c r="S271" s="38"/>
    </row>
    <row r="272" spans="2:19">
      <c r="C272" s="32" t="s">
        <v>320</v>
      </c>
      <c r="D272" s="33" t="s">
        <v>270</v>
      </c>
      <c r="E272" s="34" t="s">
        <v>312</v>
      </c>
      <c r="F272" s="56" t="s">
        <v>28</v>
      </c>
      <c r="G272" s="59" t="s">
        <v>28</v>
      </c>
      <c r="H272" s="7">
        <v>-6</v>
      </c>
      <c r="I272" s="71">
        <v>-5</v>
      </c>
      <c r="K272" s="136"/>
      <c r="L272" s="119"/>
      <c r="M272" s="137" t="s">
        <v>29</v>
      </c>
      <c r="N272" s="136"/>
      <c r="O272" s="119" t="s">
        <v>30</v>
      </c>
      <c r="P272" s="138"/>
      <c r="Q272" s="136" t="s">
        <v>17</v>
      </c>
      <c r="R272" s="137" t="s">
        <v>29</v>
      </c>
      <c r="S272" s="38"/>
    </row>
    <row r="273" spans="2:19" ht="16.5" thickBot="1">
      <c r="C273" s="43" t="s">
        <v>321</v>
      </c>
      <c r="D273" s="47" t="s">
        <v>270</v>
      </c>
      <c r="E273" s="48" t="s">
        <v>312</v>
      </c>
      <c r="F273" s="60" t="s">
        <v>28</v>
      </c>
      <c r="G273" s="63" t="s">
        <v>28</v>
      </c>
      <c r="H273" s="75">
        <v>-5</v>
      </c>
      <c r="I273" s="208">
        <v>-5</v>
      </c>
      <c r="K273" s="143"/>
      <c r="L273" s="145" t="s">
        <v>29</v>
      </c>
      <c r="M273" s="144"/>
      <c r="N273" s="143"/>
      <c r="O273" s="145" t="s">
        <v>30</v>
      </c>
      <c r="P273" s="146"/>
      <c r="Q273" s="143" t="s">
        <v>17</v>
      </c>
      <c r="R273" s="144" t="s">
        <v>29</v>
      </c>
      <c r="S273" s="49"/>
    </row>
    <row r="274" spans="2:19">
      <c r="C274" s="24" t="s">
        <v>322</v>
      </c>
      <c r="D274" s="25" t="s">
        <v>275</v>
      </c>
      <c r="E274" s="26" t="s">
        <v>312</v>
      </c>
      <c r="F274" s="51" t="s">
        <v>28</v>
      </c>
      <c r="G274" s="53" t="s">
        <v>28</v>
      </c>
      <c r="H274" s="4">
        <v>0</v>
      </c>
      <c r="I274" s="68">
        <v>-4</v>
      </c>
      <c r="K274" s="147"/>
      <c r="L274" s="148" t="s">
        <v>29</v>
      </c>
      <c r="M274" s="149"/>
      <c r="N274" s="147" t="s">
        <v>30</v>
      </c>
      <c r="O274" s="148"/>
      <c r="P274" s="150"/>
      <c r="Q274" s="132" t="s">
        <v>30</v>
      </c>
      <c r="R274" s="134" t="s">
        <v>30</v>
      </c>
      <c r="S274" s="50"/>
    </row>
    <row r="275" spans="2:19">
      <c r="C275" s="32" t="s">
        <v>323</v>
      </c>
      <c r="D275" s="33" t="s">
        <v>275</v>
      </c>
      <c r="E275" s="34" t="s">
        <v>312</v>
      </c>
      <c r="F275" s="56" t="s">
        <v>28</v>
      </c>
      <c r="G275" s="58" t="s">
        <v>28</v>
      </c>
      <c r="H275" s="2">
        <v>-6</v>
      </c>
      <c r="I275" s="71">
        <v>-4</v>
      </c>
      <c r="K275" s="136"/>
      <c r="L275" s="119"/>
      <c r="M275" s="137" t="s">
        <v>29</v>
      </c>
      <c r="N275" s="136" t="s">
        <v>30</v>
      </c>
      <c r="O275" s="119"/>
      <c r="P275" s="138"/>
      <c r="Q275" s="136" t="s">
        <v>17</v>
      </c>
      <c r="R275" s="137" t="s">
        <v>29</v>
      </c>
      <c r="S275" s="38"/>
    </row>
    <row r="276" spans="2:19">
      <c r="C276" s="32" t="s">
        <v>324</v>
      </c>
      <c r="D276" s="33" t="s">
        <v>275</v>
      </c>
      <c r="E276" s="34" t="s">
        <v>312</v>
      </c>
      <c r="F276" s="56" t="s">
        <v>28</v>
      </c>
      <c r="G276" s="58" t="s">
        <v>28</v>
      </c>
      <c r="H276" s="2">
        <v>-5</v>
      </c>
      <c r="I276" s="71">
        <v>-4</v>
      </c>
      <c r="K276" s="136"/>
      <c r="L276" s="119" t="s">
        <v>29</v>
      </c>
      <c r="M276" s="137"/>
      <c r="N276" s="136" t="s">
        <v>30</v>
      </c>
      <c r="O276" s="119"/>
      <c r="P276" s="138"/>
      <c r="Q276" s="136" t="s">
        <v>17</v>
      </c>
      <c r="R276" s="137" t="s">
        <v>29</v>
      </c>
      <c r="S276" s="38"/>
    </row>
    <row r="277" spans="2:19">
      <c r="C277" s="32" t="s">
        <v>325</v>
      </c>
      <c r="D277" s="33" t="s">
        <v>275</v>
      </c>
      <c r="E277" s="34" t="s">
        <v>312</v>
      </c>
      <c r="F277" s="56" t="s">
        <v>28</v>
      </c>
      <c r="G277" s="58" t="s">
        <v>28</v>
      </c>
      <c r="H277" s="2">
        <v>0</v>
      </c>
      <c r="I277" s="71">
        <v>-4</v>
      </c>
      <c r="K277" s="136"/>
      <c r="L277" s="119"/>
      <c r="M277" s="137" t="s">
        <v>29</v>
      </c>
      <c r="N277" s="136" t="s">
        <v>30</v>
      </c>
      <c r="O277" s="119"/>
      <c r="P277" s="138"/>
      <c r="Q277" s="136" t="s">
        <v>30</v>
      </c>
      <c r="R277" s="137" t="s">
        <v>30</v>
      </c>
      <c r="S277" s="38"/>
    </row>
    <row r="278" spans="2:19">
      <c r="C278" s="32" t="s">
        <v>326</v>
      </c>
      <c r="D278" s="33" t="s">
        <v>275</v>
      </c>
      <c r="E278" s="34" t="s">
        <v>312</v>
      </c>
      <c r="F278" s="56" t="s">
        <v>28</v>
      </c>
      <c r="G278" s="58" t="s">
        <v>28</v>
      </c>
      <c r="H278" s="2">
        <v>0</v>
      </c>
      <c r="I278" s="71">
        <v>-4</v>
      </c>
      <c r="K278" s="136"/>
      <c r="L278" s="119"/>
      <c r="M278" s="137" t="s">
        <v>29</v>
      </c>
      <c r="N278" s="136" t="s">
        <v>30</v>
      </c>
      <c r="O278" s="119"/>
      <c r="P278" s="138"/>
      <c r="Q278" s="136" t="s">
        <v>30</v>
      </c>
      <c r="R278" s="137" t="s">
        <v>30</v>
      </c>
      <c r="S278" s="38"/>
    </row>
    <row r="279" spans="2:19">
      <c r="C279" s="32" t="s">
        <v>327</v>
      </c>
      <c r="D279" s="33" t="s">
        <v>275</v>
      </c>
      <c r="E279" s="34" t="s">
        <v>312</v>
      </c>
      <c r="F279" s="56" t="s">
        <v>28</v>
      </c>
      <c r="G279" s="58" t="s">
        <v>28</v>
      </c>
      <c r="H279" s="2">
        <v>-6</v>
      </c>
      <c r="I279" s="71">
        <v>-4</v>
      </c>
      <c r="K279" s="136"/>
      <c r="L279" s="119"/>
      <c r="M279" s="137" t="s">
        <v>29</v>
      </c>
      <c r="N279" s="136" t="s">
        <v>30</v>
      </c>
      <c r="O279" s="119"/>
      <c r="P279" s="138"/>
      <c r="Q279" s="136" t="s">
        <v>17</v>
      </c>
      <c r="R279" s="137" t="s">
        <v>29</v>
      </c>
      <c r="S279" s="38"/>
    </row>
    <row r="280" spans="2:19">
      <c r="C280" s="32" t="s">
        <v>328</v>
      </c>
      <c r="D280" s="33" t="s">
        <v>275</v>
      </c>
      <c r="E280" s="34" t="s">
        <v>312</v>
      </c>
      <c r="F280" s="56" t="s">
        <v>28</v>
      </c>
      <c r="G280" s="58" t="s">
        <v>28</v>
      </c>
      <c r="H280" s="2">
        <v>0</v>
      </c>
      <c r="I280" s="71">
        <v>-4</v>
      </c>
      <c r="K280" s="136"/>
      <c r="L280" s="119" t="s">
        <v>29</v>
      </c>
      <c r="M280" s="137"/>
      <c r="N280" s="136" t="s">
        <v>30</v>
      </c>
      <c r="O280" s="119"/>
      <c r="P280" s="138"/>
      <c r="Q280" s="136" t="s">
        <v>30</v>
      </c>
      <c r="R280" s="137" t="s">
        <v>30</v>
      </c>
      <c r="S280" s="38"/>
    </row>
    <row r="281" spans="2:19">
      <c r="C281" s="32" t="s">
        <v>329</v>
      </c>
      <c r="D281" s="33" t="s">
        <v>275</v>
      </c>
      <c r="E281" s="34" t="s">
        <v>312</v>
      </c>
      <c r="F281" s="56" t="s">
        <v>28</v>
      </c>
      <c r="G281" s="58" t="s">
        <v>28</v>
      </c>
      <c r="H281" s="258" t="s">
        <v>330</v>
      </c>
      <c r="I281" s="259" t="s">
        <v>330</v>
      </c>
      <c r="K281" s="136"/>
      <c r="L281" s="119"/>
      <c r="M281" s="137" t="s">
        <v>29</v>
      </c>
      <c r="N281" s="136" t="s">
        <v>30</v>
      </c>
      <c r="O281" s="119"/>
      <c r="P281" s="138"/>
      <c r="Q281" s="136" t="s">
        <v>44</v>
      </c>
      <c r="R281" s="137" t="s">
        <v>307</v>
      </c>
      <c r="S281" s="257" t="s">
        <v>331</v>
      </c>
    </row>
    <row r="282" spans="2:19">
      <c r="C282" s="32" t="s">
        <v>332</v>
      </c>
      <c r="D282" s="33" t="s">
        <v>275</v>
      </c>
      <c r="E282" s="34" t="s">
        <v>312</v>
      </c>
      <c r="F282" s="56" t="s">
        <v>28</v>
      </c>
      <c r="G282" s="58" t="s">
        <v>28</v>
      </c>
      <c r="H282" s="2">
        <v>0</v>
      </c>
      <c r="I282" s="71">
        <v>-4</v>
      </c>
      <c r="K282" s="136"/>
      <c r="L282" s="119"/>
      <c r="M282" s="137" t="s">
        <v>29</v>
      </c>
      <c r="N282" s="136" t="s">
        <v>30</v>
      </c>
      <c r="O282" s="119"/>
      <c r="P282" s="138"/>
      <c r="Q282" s="136" t="s">
        <v>30</v>
      </c>
      <c r="R282" s="137" t="s">
        <v>30</v>
      </c>
      <c r="S282" s="38"/>
    </row>
    <row r="283" spans="2:19" ht="16.5" thickBot="1">
      <c r="C283" s="39" t="s">
        <v>333</v>
      </c>
      <c r="D283" s="40" t="s">
        <v>275</v>
      </c>
      <c r="E283" s="41" t="s">
        <v>312</v>
      </c>
      <c r="F283" s="60" t="s">
        <v>28</v>
      </c>
      <c r="G283" s="62" t="s">
        <v>28</v>
      </c>
      <c r="H283" s="8">
        <v>0</v>
      </c>
      <c r="I283" s="73">
        <v>-4</v>
      </c>
      <c r="K283" s="143"/>
      <c r="L283" s="145"/>
      <c r="M283" s="144" t="s">
        <v>29</v>
      </c>
      <c r="N283" s="143" t="s">
        <v>30</v>
      </c>
      <c r="O283" s="145"/>
      <c r="P283" s="146"/>
      <c r="Q283" s="143" t="s">
        <v>30</v>
      </c>
      <c r="R283" s="144" t="s">
        <v>30</v>
      </c>
      <c r="S283" s="49"/>
    </row>
    <row r="284" spans="2:19" ht="16.5" thickBot="1"/>
    <row r="285" spans="2:19" ht="16.5" customHeight="1" thickBot="1">
      <c r="B285" s="16" t="s">
        <v>334</v>
      </c>
      <c r="C285" s="209"/>
      <c r="D285" s="17"/>
      <c r="E285" s="17"/>
      <c r="F285" s="278" t="s">
        <v>1</v>
      </c>
      <c r="G285" s="279"/>
      <c r="H285" s="276" t="s">
        <v>2</v>
      </c>
      <c r="I285" s="277"/>
      <c r="K285" s="262" t="s">
        <v>3</v>
      </c>
      <c r="L285" s="263"/>
      <c r="M285" s="264"/>
      <c r="N285" s="262" t="s">
        <v>4</v>
      </c>
      <c r="O285" s="263"/>
      <c r="P285" s="265"/>
      <c r="Q285" s="268" t="s">
        <v>5</v>
      </c>
      <c r="R285" s="272" t="s">
        <v>6</v>
      </c>
      <c r="S285" s="274" t="s">
        <v>7</v>
      </c>
    </row>
    <row r="286" spans="2:19" ht="16.5" thickBot="1">
      <c r="C286" s="161" t="s">
        <v>8</v>
      </c>
      <c r="D286" s="176" t="s">
        <v>9</v>
      </c>
      <c r="E286" s="177" t="s">
        <v>10</v>
      </c>
      <c r="F286" s="173" t="s">
        <v>11</v>
      </c>
      <c r="G286" s="174" t="s">
        <v>12</v>
      </c>
      <c r="H286" s="163" t="s">
        <v>3</v>
      </c>
      <c r="I286" s="164" t="s">
        <v>4</v>
      </c>
      <c r="K286" s="20">
        <v>-4</v>
      </c>
      <c r="L286" s="21">
        <v>-5</v>
      </c>
      <c r="M286" s="22">
        <v>-6</v>
      </c>
      <c r="N286" s="20">
        <v>-4</v>
      </c>
      <c r="O286" s="21">
        <v>-5</v>
      </c>
      <c r="P286" s="23">
        <v>-6</v>
      </c>
      <c r="Q286" s="269"/>
      <c r="R286" s="273"/>
      <c r="S286" s="275"/>
    </row>
    <row r="287" spans="2:19">
      <c r="C287" s="24" t="s">
        <v>335</v>
      </c>
      <c r="D287" s="25" t="s">
        <v>336</v>
      </c>
      <c r="E287" s="93" t="s">
        <v>15</v>
      </c>
      <c r="F287" s="233" t="s">
        <v>16</v>
      </c>
      <c r="G287" s="128" t="s">
        <v>16</v>
      </c>
      <c r="H287" s="195">
        <v>0</v>
      </c>
      <c r="I287" s="196">
        <v>0</v>
      </c>
      <c r="K287" s="132"/>
      <c r="L287" s="133" t="s">
        <v>21</v>
      </c>
      <c r="M287" s="134"/>
      <c r="N287" s="132"/>
      <c r="O287" s="133"/>
      <c r="P287" s="135"/>
      <c r="Q287" s="132"/>
      <c r="R287" s="134"/>
      <c r="S287" s="31" t="s">
        <v>22</v>
      </c>
    </row>
    <row r="288" spans="2:19">
      <c r="C288" s="32" t="s">
        <v>337</v>
      </c>
      <c r="D288" s="33" t="s">
        <v>336</v>
      </c>
      <c r="E288" s="95" t="s">
        <v>15</v>
      </c>
      <c r="F288" s="233" t="s">
        <v>16</v>
      </c>
      <c r="G288" s="128" t="s">
        <v>16</v>
      </c>
      <c r="H288" s="125">
        <v>0</v>
      </c>
      <c r="I288" s="194">
        <v>0</v>
      </c>
      <c r="K288" s="136"/>
      <c r="L288" s="119" t="s">
        <v>21</v>
      </c>
      <c r="M288" s="137"/>
      <c r="N288" s="136"/>
      <c r="O288" s="119"/>
      <c r="P288" s="138"/>
      <c r="Q288" s="136"/>
      <c r="R288" s="137"/>
      <c r="S288" s="38" t="s">
        <v>22</v>
      </c>
    </row>
    <row r="289" spans="3:19">
      <c r="C289" s="32" t="s">
        <v>338</v>
      </c>
      <c r="D289" s="33" t="s">
        <v>336</v>
      </c>
      <c r="E289" s="95" t="s">
        <v>15</v>
      </c>
      <c r="F289" s="233" t="s">
        <v>16</v>
      </c>
      <c r="G289" s="128" t="s">
        <v>16</v>
      </c>
      <c r="H289" s="125">
        <v>0</v>
      </c>
      <c r="I289" s="194">
        <v>0</v>
      </c>
      <c r="K289" s="136"/>
      <c r="L289" s="119" t="s">
        <v>21</v>
      </c>
      <c r="M289" s="137"/>
      <c r="N289" s="136"/>
      <c r="O289" s="119"/>
      <c r="P289" s="138"/>
      <c r="Q289" s="136"/>
      <c r="R289" s="137"/>
      <c r="S289" s="38" t="s">
        <v>22</v>
      </c>
    </row>
    <row r="290" spans="3:19">
      <c r="C290" s="32" t="s">
        <v>339</v>
      </c>
      <c r="D290" s="33" t="s">
        <v>340</v>
      </c>
      <c r="E290" s="95" t="s">
        <v>15</v>
      </c>
      <c r="F290" s="233" t="s">
        <v>16</v>
      </c>
      <c r="G290" s="128" t="s">
        <v>16</v>
      </c>
      <c r="H290" s="125">
        <v>0</v>
      </c>
      <c r="I290" s="194">
        <v>0</v>
      </c>
      <c r="K290" s="136"/>
      <c r="L290" s="119" t="s">
        <v>21</v>
      </c>
      <c r="M290" s="137"/>
      <c r="N290" s="136"/>
      <c r="O290" s="119"/>
      <c r="P290" s="138"/>
      <c r="Q290" s="136"/>
      <c r="R290" s="137"/>
      <c r="S290" s="38" t="s">
        <v>22</v>
      </c>
    </row>
    <row r="291" spans="3:19" ht="16.5" thickBot="1">
      <c r="C291" s="39" t="s">
        <v>341</v>
      </c>
      <c r="D291" s="40" t="s">
        <v>340</v>
      </c>
      <c r="E291" s="96" t="s">
        <v>15</v>
      </c>
      <c r="F291" s="233" t="s">
        <v>16</v>
      </c>
      <c r="G291" s="128" t="s">
        <v>16</v>
      </c>
      <c r="H291" s="126">
        <v>0</v>
      </c>
      <c r="I291" s="200">
        <v>0</v>
      </c>
      <c r="K291" s="139"/>
      <c r="L291" s="140" t="s">
        <v>21</v>
      </c>
      <c r="M291" s="141"/>
      <c r="N291" s="139"/>
      <c r="O291" s="140"/>
      <c r="P291" s="142"/>
      <c r="Q291" s="143"/>
      <c r="R291" s="144"/>
      <c r="S291" s="46" t="s">
        <v>22</v>
      </c>
    </row>
    <row r="292" spans="3:19">
      <c r="C292" s="24" t="s">
        <v>342</v>
      </c>
      <c r="D292" s="25" t="s">
        <v>336</v>
      </c>
      <c r="E292" s="93" t="s">
        <v>343</v>
      </c>
      <c r="F292" s="51" t="s">
        <v>28</v>
      </c>
      <c r="G292" s="55" t="s">
        <v>28</v>
      </c>
      <c r="H292" s="6">
        <v>-5</v>
      </c>
      <c r="I292" s="68">
        <v>-4</v>
      </c>
      <c r="K292" s="132"/>
      <c r="L292" s="133" t="s">
        <v>17</v>
      </c>
      <c r="M292" s="134"/>
      <c r="N292" s="132" t="s">
        <v>30</v>
      </c>
      <c r="O292" s="133"/>
      <c r="P292" s="135"/>
      <c r="Q292" s="132" t="s">
        <v>17</v>
      </c>
      <c r="R292" s="134">
        <v>1</v>
      </c>
      <c r="S292" s="31" t="s">
        <v>122</v>
      </c>
    </row>
    <row r="293" spans="3:19">
      <c r="C293" s="32" t="s">
        <v>344</v>
      </c>
      <c r="D293" s="33" t="s">
        <v>336</v>
      </c>
      <c r="E293" s="95" t="s">
        <v>343</v>
      </c>
      <c r="F293" s="56" t="s">
        <v>28</v>
      </c>
      <c r="G293" s="59" t="s">
        <v>28</v>
      </c>
      <c r="H293" s="7">
        <v>-5</v>
      </c>
      <c r="I293" s="71">
        <v>0</v>
      </c>
      <c r="K293" s="136"/>
      <c r="L293" s="119" t="s">
        <v>17</v>
      </c>
      <c r="M293" s="137"/>
      <c r="N293" s="136"/>
      <c r="O293" s="119"/>
      <c r="P293" s="138"/>
      <c r="Q293" s="136" t="s">
        <v>30</v>
      </c>
      <c r="R293" s="137">
        <v>2</v>
      </c>
      <c r="S293" s="38" t="s">
        <v>22</v>
      </c>
    </row>
    <row r="294" spans="3:19">
      <c r="C294" s="32" t="s">
        <v>345</v>
      </c>
      <c r="D294" s="33" t="s">
        <v>336</v>
      </c>
      <c r="E294" s="95" t="s">
        <v>343</v>
      </c>
      <c r="F294" s="56" t="s">
        <v>28</v>
      </c>
      <c r="G294" s="59" t="s">
        <v>28</v>
      </c>
      <c r="H294" s="7">
        <v>-5</v>
      </c>
      <c r="I294" s="71">
        <v>0</v>
      </c>
      <c r="K294" s="136"/>
      <c r="L294" s="119" t="s">
        <v>17</v>
      </c>
      <c r="M294" s="137"/>
      <c r="N294" s="136"/>
      <c r="O294" s="119"/>
      <c r="P294" s="138"/>
      <c r="Q294" s="136" t="s">
        <v>30</v>
      </c>
      <c r="R294" s="137">
        <v>2</v>
      </c>
      <c r="S294" s="38" t="s">
        <v>22</v>
      </c>
    </row>
    <row r="295" spans="3:19">
      <c r="C295" s="32" t="s">
        <v>346</v>
      </c>
      <c r="D295" s="33" t="s">
        <v>336</v>
      </c>
      <c r="E295" s="95" t="s">
        <v>343</v>
      </c>
      <c r="F295" s="56" t="s">
        <v>28</v>
      </c>
      <c r="G295" s="59" t="s">
        <v>28</v>
      </c>
      <c r="H295" s="7">
        <v>-5</v>
      </c>
      <c r="I295" s="71">
        <v>0</v>
      </c>
      <c r="K295" s="136"/>
      <c r="L295" s="119" t="s">
        <v>17</v>
      </c>
      <c r="M295" s="137"/>
      <c r="N295" s="136"/>
      <c r="O295" s="119"/>
      <c r="P295" s="138"/>
      <c r="Q295" s="136" t="s">
        <v>17</v>
      </c>
      <c r="R295" s="137">
        <v>1</v>
      </c>
      <c r="S295" s="38" t="s">
        <v>22</v>
      </c>
    </row>
    <row r="296" spans="3:19">
      <c r="C296" s="32" t="s">
        <v>347</v>
      </c>
      <c r="D296" s="33" t="s">
        <v>336</v>
      </c>
      <c r="E296" s="95" t="s">
        <v>343</v>
      </c>
      <c r="F296" s="56" t="s">
        <v>28</v>
      </c>
      <c r="G296" s="59" t="s">
        <v>28</v>
      </c>
      <c r="H296" s="7">
        <v>-6</v>
      </c>
      <c r="I296" s="71">
        <v>0</v>
      </c>
      <c r="K296" s="136"/>
      <c r="L296" s="119"/>
      <c r="M296" s="137" t="s">
        <v>17</v>
      </c>
      <c r="N296" s="136"/>
      <c r="O296" s="119"/>
      <c r="P296" s="138"/>
      <c r="Q296" s="136" t="s">
        <v>17</v>
      </c>
      <c r="R296" s="137">
        <v>1</v>
      </c>
      <c r="S296" s="38" t="s">
        <v>22</v>
      </c>
    </row>
    <row r="297" spans="3:19">
      <c r="C297" s="32" t="s">
        <v>348</v>
      </c>
      <c r="D297" s="33" t="s">
        <v>336</v>
      </c>
      <c r="E297" s="95" t="s">
        <v>343</v>
      </c>
      <c r="F297" s="233" t="s">
        <v>16</v>
      </c>
      <c r="G297" s="128" t="s">
        <v>16</v>
      </c>
      <c r="H297" s="120">
        <v>0</v>
      </c>
      <c r="I297" s="194">
        <v>0</v>
      </c>
      <c r="K297" s="136"/>
      <c r="L297" s="119"/>
      <c r="M297" s="137" t="s">
        <v>21</v>
      </c>
      <c r="N297" s="136"/>
      <c r="O297" s="119"/>
      <c r="P297" s="138"/>
      <c r="Q297" s="136"/>
      <c r="R297" s="137"/>
      <c r="S297" s="38" t="s">
        <v>22</v>
      </c>
    </row>
    <row r="298" spans="3:19">
      <c r="C298" s="32" t="s">
        <v>349</v>
      </c>
      <c r="D298" s="33" t="s">
        <v>336</v>
      </c>
      <c r="E298" s="95" t="s">
        <v>343</v>
      </c>
      <c r="F298" s="56" t="s">
        <v>28</v>
      </c>
      <c r="G298" s="129" t="s">
        <v>350</v>
      </c>
      <c r="H298" s="131">
        <v>0</v>
      </c>
      <c r="I298" s="210">
        <v>0</v>
      </c>
      <c r="K298" s="136"/>
      <c r="L298" s="119" t="s">
        <v>108</v>
      </c>
      <c r="M298" s="137"/>
      <c r="N298" s="136" t="s">
        <v>351</v>
      </c>
      <c r="O298" s="119"/>
      <c r="P298" s="138"/>
      <c r="Q298" s="136"/>
      <c r="R298" s="137"/>
      <c r="S298" s="38" t="s">
        <v>122</v>
      </c>
    </row>
    <row r="299" spans="3:19">
      <c r="C299" s="32" t="s">
        <v>352</v>
      </c>
      <c r="D299" s="33" t="s">
        <v>336</v>
      </c>
      <c r="E299" s="95" t="s">
        <v>343</v>
      </c>
      <c r="F299" s="56" t="s">
        <v>28</v>
      </c>
      <c r="G299" s="59" t="s">
        <v>28</v>
      </c>
      <c r="H299" s="7">
        <v>0</v>
      </c>
      <c r="I299" s="71">
        <v>-4</v>
      </c>
      <c r="K299" s="136"/>
      <c r="L299" s="119" t="s">
        <v>29</v>
      </c>
      <c r="M299" s="137"/>
      <c r="N299" s="136" t="s">
        <v>30</v>
      </c>
      <c r="O299" s="119"/>
      <c r="P299" s="138"/>
      <c r="Q299" s="136" t="s">
        <v>30</v>
      </c>
      <c r="R299" s="137">
        <v>2</v>
      </c>
      <c r="S299" s="38"/>
    </row>
    <row r="300" spans="3:19">
      <c r="C300" s="32" t="s">
        <v>353</v>
      </c>
      <c r="D300" s="33" t="s">
        <v>336</v>
      </c>
      <c r="E300" s="95" t="s">
        <v>343</v>
      </c>
      <c r="F300" s="56" t="s">
        <v>28</v>
      </c>
      <c r="G300" s="59" t="s">
        <v>28</v>
      </c>
      <c r="H300" s="7">
        <v>0</v>
      </c>
      <c r="I300" s="71">
        <v>-4</v>
      </c>
      <c r="K300" s="136"/>
      <c r="L300" s="119" t="s">
        <v>29</v>
      </c>
      <c r="M300" s="137"/>
      <c r="N300" s="136" t="s">
        <v>30</v>
      </c>
      <c r="O300" s="119"/>
      <c r="P300" s="138"/>
      <c r="Q300" s="136" t="s">
        <v>30</v>
      </c>
      <c r="R300" s="137">
        <v>2</v>
      </c>
      <c r="S300" s="38"/>
    </row>
    <row r="301" spans="3:19" ht="16.5" thickBot="1">
      <c r="C301" s="39" t="s">
        <v>354</v>
      </c>
      <c r="D301" s="40" t="s">
        <v>336</v>
      </c>
      <c r="E301" s="96" t="s">
        <v>343</v>
      </c>
      <c r="F301" s="235" t="s">
        <v>16</v>
      </c>
      <c r="G301" s="153" t="s">
        <v>16</v>
      </c>
      <c r="H301" s="203">
        <v>0</v>
      </c>
      <c r="I301" s="200">
        <v>0</v>
      </c>
      <c r="K301" s="143"/>
      <c r="L301" s="145" t="s">
        <v>355</v>
      </c>
      <c r="M301" s="144"/>
      <c r="N301" s="143" t="s">
        <v>351</v>
      </c>
      <c r="O301" s="145"/>
      <c r="P301" s="146"/>
      <c r="Q301" s="143"/>
      <c r="R301" s="144"/>
      <c r="S301" s="49"/>
    </row>
    <row r="302" spans="3:19">
      <c r="C302" s="24" t="s">
        <v>356</v>
      </c>
      <c r="D302" s="25" t="s">
        <v>340</v>
      </c>
      <c r="E302" s="93" t="s">
        <v>343</v>
      </c>
      <c r="F302" s="234" t="s">
        <v>16</v>
      </c>
      <c r="G302" s="152" t="s">
        <v>16</v>
      </c>
      <c r="H302" s="204">
        <v>0</v>
      </c>
      <c r="I302" s="205">
        <v>0</v>
      </c>
      <c r="K302" s="147"/>
      <c r="L302" s="148" t="s">
        <v>21</v>
      </c>
      <c r="M302" s="149"/>
      <c r="N302" s="147"/>
      <c r="O302" s="148"/>
      <c r="P302" s="150"/>
      <c r="Q302" s="132"/>
      <c r="R302" s="134"/>
      <c r="S302" s="50" t="s">
        <v>22</v>
      </c>
    </row>
    <row r="303" spans="3:19">
      <c r="C303" s="32" t="s">
        <v>357</v>
      </c>
      <c r="D303" s="33" t="s">
        <v>340</v>
      </c>
      <c r="E303" s="95" t="s">
        <v>343</v>
      </c>
      <c r="F303" s="56" t="s">
        <v>28</v>
      </c>
      <c r="G303" s="247" t="s">
        <v>28</v>
      </c>
      <c r="H303" s="254">
        <v>0</v>
      </c>
      <c r="I303" s="255">
        <v>-1</v>
      </c>
      <c r="K303" s="136"/>
      <c r="L303" s="119" t="s">
        <v>21</v>
      </c>
      <c r="M303" s="137"/>
      <c r="N303" s="136"/>
      <c r="O303" s="119"/>
      <c r="P303" s="138"/>
      <c r="Q303" s="136"/>
      <c r="R303" s="137"/>
      <c r="S303" s="253" t="s">
        <v>45</v>
      </c>
    </row>
    <row r="304" spans="3:19">
      <c r="C304" s="32" t="s">
        <v>358</v>
      </c>
      <c r="D304" s="33" t="s">
        <v>340</v>
      </c>
      <c r="E304" s="95" t="s">
        <v>343</v>
      </c>
      <c r="F304" s="56" t="s">
        <v>28</v>
      </c>
      <c r="G304" s="247" t="s">
        <v>28</v>
      </c>
      <c r="H304" s="254">
        <v>0</v>
      </c>
      <c r="I304" s="255">
        <v>-1</v>
      </c>
      <c r="K304" s="136"/>
      <c r="L304" s="119" t="s">
        <v>21</v>
      </c>
      <c r="M304" s="137"/>
      <c r="N304" s="136" t="s">
        <v>30</v>
      </c>
      <c r="O304" s="119"/>
      <c r="P304" s="138"/>
      <c r="Q304" s="136"/>
      <c r="R304" s="137"/>
      <c r="S304" s="253" t="s">
        <v>359</v>
      </c>
    </row>
    <row r="305" spans="2:19">
      <c r="C305" s="32" t="s">
        <v>360</v>
      </c>
      <c r="D305" s="33" t="s">
        <v>340</v>
      </c>
      <c r="E305" s="95" t="s">
        <v>343</v>
      </c>
      <c r="F305" s="233" t="s">
        <v>16</v>
      </c>
      <c r="G305" s="128" t="s">
        <v>16</v>
      </c>
      <c r="H305" s="120">
        <v>0</v>
      </c>
      <c r="I305" s="194">
        <v>0</v>
      </c>
      <c r="K305" s="136"/>
      <c r="L305" s="119" t="s">
        <v>21</v>
      </c>
      <c r="M305" s="137"/>
      <c r="N305" s="136"/>
      <c r="O305" s="119"/>
      <c r="P305" s="138"/>
      <c r="Q305" s="136"/>
      <c r="R305" s="137"/>
      <c r="S305" s="38" t="s">
        <v>22</v>
      </c>
    </row>
    <row r="306" spans="2:19">
      <c r="C306" s="32" t="s">
        <v>361</v>
      </c>
      <c r="D306" s="33" t="s">
        <v>340</v>
      </c>
      <c r="E306" s="95" t="s">
        <v>343</v>
      </c>
      <c r="F306" s="56" t="s">
        <v>28</v>
      </c>
      <c r="G306" s="59" t="s">
        <v>28</v>
      </c>
      <c r="H306" s="7">
        <v>0</v>
      </c>
      <c r="I306" s="71">
        <v>-4</v>
      </c>
      <c r="K306" s="136"/>
      <c r="L306" s="119" t="s">
        <v>17</v>
      </c>
      <c r="M306" s="137"/>
      <c r="N306" s="136" t="s">
        <v>30</v>
      </c>
      <c r="O306" s="119"/>
      <c r="P306" s="138"/>
      <c r="Q306" s="136" t="s">
        <v>30</v>
      </c>
      <c r="R306" s="137">
        <v>2</v>
      </c>
      <c r="S306" s="38" t="s">
        <v>122</v>
      </c>
    </row>
    <row r="307" spans="2:19">
      <c r="C307" s="32" t="s">
        <v>362</v>
      </c>
      <c r="D307" s="33" t="s">
        <v>340</v>
      </c>
      <c r="E307" s="95" t="s">
        <v>343</v>
      </c>
      <c r="F307" s="56" t="s">
        <v>28</v>
      </c>
      <c r="G307" s="247" t="s">
        <v>28</v>
      </c>
      <c r="H307" s="254">
        <v>0</v>
      </c>
      <c r="I307" s="255">
        <v>-1</v>
      </c>
      <c r="K307" s="136"/>
      <c r="L307" s="119" t="s">
        <v>21</v>
      </c>
      <c r="M307" s="137"/>
      <c r="N307" s="136"/>
      <c r="O307" s="119"/>
      <c r="P307" s="138"/>
      <c r="Q307" s="136"/>
      <c r="R307" s="137"/>
      <c r="S307" s="253" t="s">
        <v>45</v>
      </c>
    </row>
    <row r="308" spans="2:19">
      <c r="C308" s="32" t="s">
        <v>363</v>
      </c>
      <c r="D308" s="33" t="s">
        <v>340</v>
      </c>
      <c r="E308" s="95" t="s">
        <v>343</v>
      </c>
      <c r="F308" s="56" t="s">
        <v>28</v>
      </c>
      <c r="G308" s="59" t="s">
        <v>28</v>
      </c>
      <c r="H308" s="7">
        <v>0</v>
      </c>
      <c r="I308" s="71">
        <v>-4</v>
      </c>
      <c r="K308" s="136"/>
      <c r="L308" s="119" t="s">
        <v>29</v>
      </c>
      <c r="M308" s="137"/>
      <c r="N308" s="136" t="s">
        <v>30</v>
      </c>
      <c r="O308" s="119"/>
      <c r="P308" s="138"/>
      <c r="Q308" s="136" t="s">
        <v>30</v>
      </c>
      <c r="R308" s="137">
        <v>2</v>
      </c>
      <c r="S308" s="38"/>
    </row>
    <row r="309" spans="2:19">
      <c r="C309" s="32" t="s">
        <v>364</v>
      </c>
      <c r="D309" s="33" t="s">
        <v>340</v>
      </c>
      <c r="E309" s="95" t="s">
        <v>343</v>
      </c>
      <c r="F309" s="56" t="s">
        <v>28</v>
      </c>
      <c r="G309" s="129" t="s">
        <v>350</v>
      </c>
      <c r="H309" s="131">
        <v>0</v>
      </c>
      <c r="I309" s="210">
        <v>0</v>
      </c>
      <c r="K309" s="136"/>
      <c r="L309" s="119" t="s">
        <v>17</v>
      </c>
      <c r="M309" s="137"/>
      <c r="N309" s="136"/>
      <c r="O309" s="119"/>
      <c r="P309" s="138"/>
      <c r="Q309" s="136"/>
      <c r="R309" s="137"/>
      <c r="S309" s="38" t="s">
        <v>331</v>
      </c>
    </row>
    <row r="310" spans="2:19">
      <c r="C310" s="32" t="s">
        <v>365</v>
      </c>
      <c r="D310" s="33" t="s">
        <v>340</v>
      </c>
      <c r="E310" s="95" t="s">
        <v>343</v>
      </c>
      <c r="F310" s="56" t="s">
        <v>28</v>
      </c>
      <c r="G310" s="59" t="s">
        <v>28</v>
      </c>
      <c r="H310" s="7">
        <v>-5</v>
      </c>
      <c r="I310" s="71">
        <v>-4</v>
      </c>
      <c r="K310" s="136"/>
      <c r="L310" s="119" t="s">
        <v>17</v>
      </c>
      <c r="M310" s="137"/>
      <c r="N310" s="136" t="s">
        <v>30</v>
      </c>
      <c r="O310" s="119"/>
      <c r="P310" s="138"/>
      <c r="Q310" s="136" t="s">
        <v>30</v>
      </c>
      <c r="R310" s="137">
        <v>2</v>
      </c>
      <c r="S310" s="38" t="s">
        <v>122</v>
      </c>
    </row>
    <row r="311" spans="2:19" ht="16.5" thickBot="1">
      <c r="C311" s="39" t="s">
        <v>366</v>
      </c>
      <c r="D311" s="40" t="s">
        <v>340</v>
      </c>
      <c r="E311" s="96" t="s">
        <v>343</v>
      </c>
      <c r="F311" s="60" t="s">
        <v>28</v>
      </c>
      <c r="G311" s="63" t="s">
        <v>28</v>
      </c>
      <c r="H311" s="10">
        <v>-5</v>
      </c>
      <c r="I311" s="73">
        <v>-4</v>
      </c>
      <c r="K311" s="143"/>
      <c r="L311" s="145" t="s">
        <v>17</v>
      </c>
      <c r="M311" s="144"/>
      <c r="N311" s="143" t="s">
        <v>30</v>
      </c>
      <c r="O311" s="145"/>
      <c r="P311" s="146"/>
      <c r="Q311" s="143" t="s">
        <v>30</v>
      </c>
      <c r="R311" s="144">
        <v>2</v>
      </c>
      <c r="S311" s="49" t="s">
        <v>122</v>
      </c>
    </row>
    <row r="312" spans="2:19" ht="16.5" thickBot="1"/>
    <row r="313" spans="2:19" ht="16.5" customHeight="1" thickBot="1">
      <c r="B313" s="16" t="s">
        <v>367</v>
      </c>
      <c r="D313" s="17"/>
      <c r="E313" s="17"/>
      <c r="F313" s="278" t="s">
        <v>1</v>
      </c>
      <c r="G313" s="279"/>
      <c r="H313" s="278" t="s">
        <v>2</v>
      </c>
      <c r="I313" s="279"/>
      <c r="K313" s="262" t="s">
        <v>3</v>
      </c>
      <c r="L313" s="263"/>
      <c r="M313" s="264"/>
      <c r="N313" s="262" t="s">
        <v>4</v>
      </c>
      <c r="O313" s="263"/>
      <c r="P313" s="265"/>
      <c r="Q313" s="268" t="s">
        <v>5</v>
      </c>
      <c r="R313" s="272" t="s">
        <v>6</v>
      </c>
      <c r="S313" s="274" t="s">
        <v>7</v>
      </c>
    </row>
    <row r="314" spans="2:19" ht="16.5" thickBot="1">
      <c r="C314" s="161" t="s">
        <v>8</v>
      </c>
      <c r="D314" s="176" t="s">
        <v>9</v>
      </c>
      <c r="E314" s="177" t="s">
        <v>10</v>
      </c>
      <c r="F314" s="173" t="s">
        <v>11</v>
      </c>
      <c r="G314" s="174" t="s">
        <v>12</v>
      </c>
      <c r="H314" s="173" t="s">
        <v>3</v>
      </c>
      <c r="I314" s="174" t="s">
        <v>4</v>
      </c>
      <c r="K314" s="20">
        <v>-4</v>
      </c>
      <c r="L314" s="21">
        <v>-5</v>
      </c>
      <c r="M314" s="22">
        <v>-6</v>
      </c>
      <c r="N314" s="20">
        <v>-4</v>
      </c>
      <c r="O314" s="21">
        <v>-5</v>
      </c>
      <c r="P314" s="23">
        <v>-6</v>
      </c>
      <c r="Q314" s="269"/>
      <c r="R314" s="273"/>
      <c r="S314" s="275"/>
    </row>
    <row r="315" spans="2:19">
      <c r="C315" s="24" t="s">
        <v>368</v>
      </c>
      <c r="D315" s="25" t="s">
        <v>336</v>
      </c>
      <c r="E315" s="93" t="s">
        <v>15</v>
      </c>
      <c r="F315" s="233" t="s">
        <v>16</v>
      </c>
      <c r="G315" s="128" t="s">
        <v>16</v>
      </c>
      <c r="H315" s="124">
        <v>0</v>
      </c>
      <c r="I315" s="205">
        <v>0</v>
      </c>
      <c r="K315" s="132"/>
      <c r="L315" s="133" t="s">
        <v>21</v>
      </c>
      <c r="M315" s="134"/>
      <c r="N315" s="132"/>
      <c r="O315" s="133"/>
      <c r="P315" s="135"/>
      <c r="Q315" s="132"/>
      <c r="R315" s="134"/>
      <c r="S315" s="31" t="s">
        <v>22</v>
      </c>
    </row>
    <row r="316" spans="2:19">
      <c r="C316" s="32" t="s">
        <v>369</v>
      </c>
      <c r="D316" s="33" t="s">
        <v>336</v>
      </c>
      <c r="E316" s="95" t="s">
        <v>15</v>
      </c>
      <c r="F316" s="233" t="s">
        <v>16</v>
      </c>
      <c r="G316" s="128" t="s">
        <v>16</v>
      </c>
      <c r="H316" s="125">
        <v>0</v>
      </c>
      <c r="I316" s="194">
        <v>0</v>
      </c>
      <c r="K316" s="136"/>
      <c r="L316" s="119" t="s">
        <v>21</v>
      </c>
      <c r="M316" s="137"/>
      <c r="N316" s="136" t="s">
        <v>30</v>
      </c>
      <c r="O316" s="119"/>
      <c r="P316" s="138"/>
      <c r="Q316" s="136"/>
      <c r="R316" s="137"/>
      <c r="S316" s="38" t="s">
        <v>370</v>
      </c>
    </row>
    <row r="317" spans="2:19">
      <c r="C317" s="32" t="s">
        <v>371</v>
      </c>
      <c r="D317" s="33" t="s">
        <v>336</v>
      </c>
      <c r="E317" s="95" t="s">
        <v>15</v>
      </c>
      <c r="F317" s="233" t="s">
        <v>16</v>
      </c>
      <c r="G317" s="128" t="s">
        <v>16</v>
      </c>
      <c r="H317" s="125">
        <v>0</v>
      </c>
      <c r="I317" s="194">
        <v>0</v>
      </c>
      <c r="K317" s="136"/>
      <c r="L317" s="119" t="s">
        <v>21</v>
      </c>
      <c r="M317" s="137"/>
      <c r="N317" s="136"/>
      <c r="O317" s="119"/>
      <c r="P317" s="138"/>
      <c r="Q317" s="136"/>
      <c r="R317" s="137"/>
      <c r="S317" s="38" t="s">
        <v>22</v>
      </c>
    </row>
    <row r="318" spans="2:19">
      <c r="C318" s="32" t="s">
        <v>372</v>
      </c>
      <c r="D318" s="33" t="s">
        <v>340</v>
      </c>
      <c r="E318" s="95" t="s">
        <v>15</v>
      </c>
      <c r="F318" s="233" t="s">
        <v>16</v>
      </c>
      <c r="G318" s="128" t="s">
        <v>16</v>
      </c>
      <c r="H318" s="125">
        <v>0</v>
      </c>
      <c r="I318" s="194">
        <v>0</v>
      </c>
      <c r="K318" s="136"/>
      <c r="L318" s="119" t="s">
        <v>21</v>
      </c>
      <c r="M318" s="137"/>
      <c r="N318" s="136" t="s">
        <v>30</v>
      </c>
      <c r="O318" s="119"/>
      <c r="P318" s="138"/>
      <c r="Q318" s="136"/>
      <c r="R318" s="137"/>
      <c r="S318" s="38" t="s">
        <v>81</v>
      </c>
    </row>
    <row r="319" spans="2:19" ht="16.5" thickBot="1">
      <c r="C319" s="39" t="s">
        <v>373</v>
      </c>
      <c r="D319" s="40" t="s">
        <v>340</v>
      </c>
      <c r="E319" s="96" t="s">
        <v>15</v>
      </c>
      <c r="F319" s="233" t="s">
        <v>16</v>
      </c>
      <c r="G319" s="128" t="s">
        <v>16</v>
      </c>
      <c r="H319" s="126">
        <v>0</v>
      </c>
      <c r="I319" s="200">
        <v>0</v>
      </c>
      <c r="K319" s="139"/>
      <c r="L319" s="140" t="s">
        <v>21</v>
      </c>
      <c r="M319" s="141"/>
      <c r="N319" s="139" t="s">
        <v>30</v>
      </c>
      <c r="O319" s="140"/>
      <c r="P319" s="142"/>
      <c r="Q319" s="143"/>
      <c r="R319" s="144"/>
      <c r="S319" s="46" t="s">
        <v>374</v>
      </c>
    </row>
    <row r="320" spans="2:19">
      <c r="C320" s="24" t="s">
        <v>375</v>
      </c>
      <c r="D320" s="25" t="s">
        <v>336</v>
      </c>
      <c r="E320" s="93" t="s">
        <v>376</v>
      </c>
      <c r="F320" s="51" t="s">
        <v>28</v>
      </c>
      <c r="G320" s="55" t="s">
        <v>28</v>
      </c>
      <c r="H320" s="199" t="s">
        <v>73</v>
      </c>
      <c r="I320" s="68">
        <v>-4</v>
      </c>
      <c r="K320" s="132" t="s">
        <v>29</v>
      </c>
      <c r="L320" s="133" t="s">
        <v>29</v>
      </c>
      <c r="M320" s="134"/>
      <c r="N320" s="132" t="s">
        <v>30</v>
      </c>
      <c r="O320" s="133"/>
      <c r="P320" s="135"/>
      <c r="Q320" s="132" t="s">
        <v>17</v>
      </c>
      <c r="R320" s="134">
        <v>1</v>
      </c>
      <c r="S320" s="31"/>
    </row>
    <row r="321" spans="3:19">
      <c r="C321" s="32" t="s">
        <v>377</v>
      </c>
      <c r="D321" s="33" t="s">
        <v>336</v>
      </c>
      <c r="E321" s="95" t="s">
        <v>376</v>
      </c>
      <c r="F321" s="56" t="s">
        <v>28</v>
      </c>
      <c r="G321" s="59" t="s">
        <v>28</v>
      </c>
      <c r="H321" s="201" t="s">
        <v>175</v>
      </c>
      <c r="I321" s="71">
        <v>-4</v>
      </c>
      <c r="K321" s="136"/>
      <c r="L321" s="119" t="s">
        <v>29</v>
      </c>
      <c r="M321" s="137" t="s">
        <v>29</v>
      </c>
      <c r="N321" s="136" t="s">
        <v>30</v>
      </c>
      <c r="O321" s="119"/>
      <c r="P321" s="138"/>
      <c r="Q321" s="136" t="s">
        <v>17</v>
      </c>
      <c r="R321" s="137">
        <v>1</v>
      </c>
      <c r="S321" s="38"/>
    </row>
    <row r="322" spans="3:19">
      <c r="C322" s="32" t="s">
        <v>378</v>
      </c>
      <c r="D322" s="33" t="s">
        <v>336</v>
      </c>
      <c r="E322" s="95" t="s">
        <v>376</v>
      </c>
      <c r="F322" s="56" t="s">
        <v>28</v>
      </c>
      <c r="G322" s="59" t="s">
        <v>28</v>
      </c>
      <c r="H322" s="2">
        <v>0</v>
      </c>
      <c r="I322" s="71">
        <v>-4</v>
      </c>
      <c r="K322" s="136" t="s">
        <v>29</v>
      </c>
      <c r="L322" s="119" t="s">
        <v>29</v>
      </c>
      <c r="M322" s="137" t="s">
        <v>29</v>
      </c>
      <c r="N322" s="136" t="s">
        <v>30</v>
      </c>
      <c r="O322" s="119"/>
      <c r="P322" s="138"/>
      <c r="Q322" s="136" t="s">
        <v>30</v>
      </c>
      <c r="R322" s="137">
        <v>2</v>
      </c>
      <c r="S322" s="38"/>
    </row>
    <row r="323" spans="3:19">
      <c r="C323" s="32" t="s">
        <v>379</v>
      </c>
      <c r="D323" s="33" t="s">
        <v>336</v>
      </c>
      <c r="E323" s="95" t="s">
        <v>376</v>
      </c>
      <c r="F323" s="56" t="s">
        <v>28</v>
      </c>
      <c r="G323" s="59" t="s">
        <v>28</v>
      </c>
      <c r="H323" s="2">
        <v>0</v>
      </c>
      <c r="I323" s="211" t="s">
        <v>73</v>
      </c>
      <c r="K323" s="136" t="s">
        <v>29</v>
      </c>
      <c r="L323" s="119" t="s">
        <v>29</v>
      </c>
      <c r="M323" s="137" t="s">
        <v>29</v>
      </c>
      <c r="N323" s="136" t="s">
        <v>30</v>
      </c>
      <c r="O323" s="119" t="s">
        <v>30</v>
      </c>
      <c r="P323" s="138"/>
      <c r="Q323" s="136" t="s">
        <v>30</v>
      </c>
      <c r="R323" s="137">
        <v>2</v>
      </c>
      <c r="S323" s="38"/>
    </row>
    <row r="324" spans="3:19">
      <c r="C324" s="32" t="s">
        <v>380</v>
      </c>
      <c r="D324" s="33" t="s">
        <v>336</v>
      </c>
      <c r="E324" s="95" t="s">
        <v>376</v>
      </c>
      <c r="F324" s="56" t="s">
        <v>28</v>
      </c>
      <c r="G324" s="59" t="s">
        <v>28</v>
      </c>
      <c r="H324" s="2">
        <v>0</v>
      </c>
      <c r="I324" s="211" t="s">
        <v>73</v>
      </c>
      <c r="K324" s="136"/>
      <c r="L324" s="119" t="s">
        <v>29</v>
      </c>
      <c r="M324" s="137" t="s">
        <v>29</v>
      </c>
      <c r="N324" s="136" t="s">
        <v>30</v>
      </c>
      <c r="O324" s="119" t="s">
        <v>30</v>
      </c>
      <c r="P324" s="138"/>
      <c r="Q324" s="136" t="s">
        <v>30</v>
      </c>
      <c r="R324" s="137">
        <v>2</v>
      </c>
      <c r="S324" s="38"/>
    </row>
    <row r="325" spans="3:19">
      <c r="C325" s="32" t="s">
        <v>381</v>
      </c>
      <c r="D325" s="33" t="s">
        <v>336</v>
      </c>
      <c r="E325" s="95" t="s">
        <v>376</v>
      </c>
      <c r="F325" s="56" t="s">
        <v>28</v>
      </c>
      <c r="G325" s="59" t="s">
        <v>28</v>
      </c>
      <c r="H325" s="2">
        <v>0</v>
      </c>
      <c r="I325" s="211" t="s">
        <v>73</v>
      </c>
      <c r="K325" s="136" t="s">
        <v>29</v>
      </c>
      <c r="L325" s="119" t="s">
        <v>29</v>
      </c>
      <c r="M325" s="137"/>
      <c r="N325" s="136" t="s">
        <v>30</v>
      </c>
      <c r="O325" s="119" t="s">
        <v>30</v>
      </c>
      <c r="P325" s="138"/>
      <c r="Q325" s="136" t="s">
        <v>30</v>
      </c>
      <c r="R325" s="137">
        <v>2</v>
      </c>
      <c r="S325" s="38"/>
    </row>
    <row r="326" spans="3:19">
      <c r="C326" s="32" t="s">
        <v>382</v>
      </c>
      <c r="D326" s="33" t="s">
        <v>336</v>
      </c>
      <c r="E326" s="95" t="s">
        <v>376</v>
      </c>
      <c r="F326" s="56" t="s">
        <v>28</v>
      </c>
      <c r="G326" s="59" t="s">
        <v>28</v>
      </c>
      <c r="H326" s="2">
        <v>0</v>
      </c>
      <c r="I326" s="1">
        <v>-4</v>
      </c>
      <c r="K326" s="136" t="s">
        <v>29</v>
      </c>
      <c r="L326" s="119" t="s">
        <v>30</v>
      </c>
      <c r="M326" s="137"/>
      <c r="N326" s="136" t="s">
        <v>30</v>
      </c>
      <c r="O326" s="119"/>
      <c r="P326" s="138"/>
      <c r="Q326" s="136" t="s">
        <v>30</v>
      </c>
      <c r="R326" s="137">
        <v>2</v>
      </c>
      <c r="S326" s="38" t="s">
        <v>370</v>
      </c>
    </row>
    <row r="327" spans="3:19">
      <c r="C327" s="32" t="s">
        <v>383</v>
      </c>
      <c r="D327" s="33" t="s">
        <v>336</v>
      </c>
      <c r="E327" s="95" t="s">
        <v>376</v>
      </c>
      <c r="F327" s="56" t="s">
        <v>28</v>
      </c>
      <c r="G327" s="59" t="s">
        <v>28</v>
      </c>
      <c r="H327" s="2">
        <v>0</v>
      </c>
      <c r="I327" s="1">
        <v>-4</v>
      </c>
      <c r="K327" s="136" t="s">
        <v>29</v>
      </c>
      <c r="L327" s="119" t="s">
        <v>29</v>
      </c>
      <c r="M327" s="137"/>
      <c r="N327" s="136" t="s">
        <v>30</v>
      </c>
      <c r="O327" s="119"/>
      <c r="P327" s="138"/>
      <c r="Q327" s="136" t="s">
        <v>30</v>
      </c>
      <c r="R327" s="137">
        <v>2</v>
      </c>
      <c r="S327" s="38"/>
    </row>
    <row r="328" spans="3:19">
      <c r="C328" s="32" t="s">
        <v>384</v>
      </c>
      <c r="D328" s="33" t="s">
        <v>336</v>
      </c>
      <c r="E328" s="95" t="s">
        <v>376</v>
      </c>
      <c r="F328" s="56" t="s">
        <v>28</v>
      </c>
      <c r="G328" s="59" t="s">
        <v>28</v>
      </c>
      <c r="H328" s="2">
        <v>0</v>
      </c>
      <c r="I328" s="1">
        <v>-4</v>
      </c>
      <c r="K328" s="136" t="s">
        <v>30</v>
      </c>
      <c r="L328" s="119" t="s">
        <v>29</v>
      </c>
      <c r="M328" s="137"/>
      <c r="N328" s="136" t="s">
        <v>30</v>
      </c>
      <c r="O328" s="119"/>
      <c r="P328" s="138"/>
      <c r="Q328" s="136" t="s">
        <v>30</v>
      </c>
      <c r="R328" s="137">
        <v>2</v>
      </c>
      <c r="S328" s="38" t="s">
        <v>385</v>
      </c>
    </row>
    <row r="329" spans="3:19" ht="16.5" thickBot="1">
      <c r="C329" s="39" t="s">
        <v>386</v>
      </c>
      <c r="D329" s="40" t="s">
        <v>336</v>
      </c>
      <c r="E329" s="96" t="s">
        <v>376</v>
      </c>
      <c r="F329" s="60" t="s">
        <v>28</v>
      </c>
      <c r="G329" s="63" t="s">
        <v>28</v>
      </c>
      <c r="H329" s="212" t="s">
        <v>175</v>
      </c>
      <c r="I329" s="213" t="s">
        <v>73</v>
      </c>
      <c r="K329" s="143"/>
      <c r="L329" s="145" t="s">
        <v>29</v>
      </c>
      <c r="M329" s="144" t="s">
        <v>30</v>
      </c>
      <c r="N329" s="143" t="s">
        <v>30</v>
      </c>
      <c r="O329" s="145" t="s">
        <v>30</v>
      </c>
      <c r="P329" s="146"/>
      <c r="Q329" s="143" t="s">
        <v>30</v>
      </c>
      <c r="R329" s="144">
        <v>2</v>
      </c>
      <c r="S329" s="49"/>
    </row>
    <row r="330" spans="3:19">
      <c r="C330" s="24" t="s">
        <v>387</v>
      </c>
      <c r="D330" s="25" t="s">
        <v>340</v>
      </c>
      <c r="E330" s="93" t="s">
        <v>376</v>
      </c>
      <c r="F330" s="51" t="s">
        <v>28</v>
      </c>
      <c r="G330" s="55" t="s">
        <v>28</v>
      </c>
      <c r="H330" s="4">
        <v>0</v>
      </c>
      <c r="I330" s="67">
        <v>-4</v>
      </c>
      <c r="K330" s="147"/>
      <c r="L330" s="148" t="s">
        <v>29</v>
      </c>
      <c r="M330" s="149" t="s">
        <v>30</v>
      </c>
      <c r="N330" s="147" t="s">
        <v>30</v>
      </c>
      <c r="O330" s="148"/>
      <c r="P330" s="150"/>
      <c r="Q330" s="132" t="s">
        <v>30</v>
      </c>
      <c r="R330" s="134">
        <v>2</v>
      </c>
      <c r="S330" s="50" t="s">
        <v>388</v>
      </c>
    </row>
    <row r="331" spans="3:19">
      <c r="C331" s="32" t="s">
        <v>389</v>
      </c>
      <c r="D331" s="33" t="s">
        <v>340</v>
      </c>
      <c r="E331" s="95" t="s">
        <v>376</v>
      </c>
      <c r="F331" s="56" t="s">
        <v>28</v>
      </c>
      <c r="G331" s="59" t="s">
        <v>28</v>
      </c>
      <c r="H331" s="2">
        <v>0</v>
      </c>
      <c r="I331" s="211" t="s">
        <v>73</v>
      </c>
      <c r="K331" s="136"/>
      <c r="L331" s="119" t="s">
        <v>29</v>
      </c>
      <c r="M331" s="137"/>
      <c r="N331" s="136" t="s">
        <v>30</v>
      </c>
      <c r="O331" s="119" t="s">
        <v>30</v>
      </c>
      <c r="P331" s="138"/>
      <c r="Q331" s="136" t="s">
        <v>30</v>
      </c>
      <c r="R331" s="137">
        <v>2</v>
      </c>
      <c r="S331" s="38" t="s">
        <v>390</v>
      </c>
    </row>
    <row r="332" spans="3:19">
      <c r="C332" s="32" t="s">
        <v>391</v>
      </c>
      <c r="D332" s="33" t="s">
        <v>340</v>
      </c>
      <c r="E332" s="95" t="s">
        <v>376</v>
      </c>
      <c r="F332" s="56" t="s">
        <v>28</v>
      </c>
      <c r="G332" s="59" t="s">
        <v>28</v>
      </c>
      <c r="H332" s="2">
        <v>0</v>
      </c>
      <c r="I332" s="1">
        <v>-4</v>
      </c>
      <c r="K332" s="136" t="s">
        <v>30</v>
      </c>
      <c r="L332" s="119" t="s">
        <v>29</v>
      </c>
      <c r="M332" s="137"/>
      <c r="N332" s="136" t="s">
        <v>30</v>
      </c>
      <c r="O332" s="119"/>
      <c r="P332" s="138"/>
      <c r="Q332" s="136" t="s">
        <v>30</v>
      </c>
      <c r="R332" s="137">
        <v>2</v>
      </c>
      <c r="S332" s="38"/>
    </row>
    <row r="333" spans="3:19">
      <c r="C333" s="32" t="s">
        <v>392</v>
      </c>
      <c r="D333" s="33" t="s">
        <v>340</v>
      </c>
      <c r="E333" s="95" t="s">
        <v>376</v>
      </c>
      <c r="F333" s="56" t="s">
        <v>28</v>
      </c>
      <c r="G333" s="59" t="s">
        <v>28</v>
      </c>
      <c r="H333" s="2">
        <v>0</v>
      </c>
      <c r="I333" s="211" t="s">
        <v>73</v>
      </c>
      <c r="K333" s="136"/>
      <c r="L333" s="119" t="s">
        <v>29</v>
      </c>
      <c r="M333" s="137" t="s">
        <v>30</v>
      </c>
      <c r="N333" s="136" t="s">
        <v>30</v>
      </c>
      <c r="O333" s="119" t="s">
        <v>30</v>
      </c>
      <c r="P333" s="138"/>
      <c r="Q333" s="136" t="s">
        <v>30</v>
      </c>
      <c r="R333" s="137">
        <v>2</v>
      </c>
      <c r="S333" s="38"/>
    </row>
    <row r="334" spans="3:19">
      <c r="C334" s="32" t="s">
        <v>393</v>
      </c>
      <c r="D334" s="33" t="s">
        <v>340</v>
      </c>
      <c r="E334" s="95" t="s">
        <v>376</v>
      </c>
      <c r="F334" s="56" t="s">
        <v>28</v>
      </c>
      <c r="G334" s="59" t="s">
        <v>28</v>
      </c>
      <c r="H334" s="2">
        <v>0</v>
      </c>
      <c r="I334" s="1">
        <v>-4</v>
      </c>
      <c r="K334" s="136"/>
      <c r="L334" s="119" t="s">
        <v>17</v>
      </c>
      <c r="M334" s="137"/>
      <c r="N334" s="136" t="s">
        <v>30</v>
      </c>
      <c r="O334" s="119"/>
      <c r="P334" s="138"/>
      <c r="Q334" s="136" t="s">
        <v>30</v>
      </c>
      <c r="R334" s="137">
        <v>2</v>
      </c>
      <c r="S334" s="38"/>
    </row>
    <row r="335" spans="3:19">
      <c r="C335" s="32" t="s">
        <v>394</v>
      </c>
      <c r="D335" s="33" t="s">
        <v>340</v>
      </c>
      <c r="E335" s="95" t="s">
        <v>376</v>
      </c>
      <c r="F335" s="56" t="s">
        <v>28</v>
      </c>
      <c r="G335" s="59" t="s">
        <v>28</v>
      </c>
      <c r="H335" s="2">
        <v>0</v>
      </c>
      <c r="I335" s="1">
        <v>-4</v>
      </c>
      <c r="K335" s="136"/>
      <c r="L335" s="119" t="s">
        <v>29</v>
      </c>
      <c r="M335" s="137" t="s">
        <v>30</v>
      </c>
      <c r="N335" s="136" t="s">
        <v>30</v>
      </c>
      <c r="O335" s="119"/>
      <c r="P335" s="138"/>
      <c r="Q335" s="136" t="s">
        <v>30</v>
      </c>
      <c r="R335" s="137">
        <v>2</v>
      </c>
      <c r="S335" s="38"/>
    </row>
    <row r="336" spans="3:19">
      <c r="C336" s="32" t="s">
        <v>395</v>
      </c>
      <c r="D336" s="33" t="s">
        <v>340</v>
      </c>
      <c r="E336" s="95" t="s">
        <v>376</v>
      </c>
      <c r="F336" s="56" t="s">
        <v>28</v>
      </c>
      <c r="G336" s="59" t="s">
        <v>28</v>
      </c>
      <c r="H336" s="70">
        <v>0</v>
      </c>
      <c r="I336" s="211" t="s">
        <v>73</v>
      </c>
      <c r="K336" s="136"/>
      <c r="L336" s="119" t="s">
        <v>17</v>
      </c>
      <c r="M336" s="137"/>
      <c r="N336" s="136" t="s">
        <v>30</v>
      </c>
      <c r="O336" s="119" t="s">
        <v>30</v>
      </c>
      <c r="P336" s="138"/>
      <c r="Q336" s="136" t="s">
        <v>30</v>
      </c>
      <c r="R336" s="137">
        <v>2</v>
      </c>
      <c r="S336" s="38"/>
    </row>
    <row r="337" spans="2:19">
      <c r="C337" s="32" t="s">
        <v>396</v>
      </c>
      <c r="D337" s="33" t="s">
        <v>340</v>
      </c>
      <c r="E337" s="95" t="s">
        <v>376</v>
      </c>
      <c r="F337" s="56" t="s">
        <v>28</v>
      </c>
      <c r="G337" s="247" t="s">
        <v>28</v>
      </c>
      <c r="H337" s="256">
        <v>0</v>
      </c>
      <c r="I337" s="255">
        <v>-1</v>
      </c>
      <c r="K337" s="136"/>
      <c r="L337" s="119" t="s">
        <v>17</v>
      </c>
      <c r="M337" s="137"/>
      <c r="N337" s="136" t="s">
        <v>30</v>
      </c>
      <c r="O337" s="119"/>
      <c r="P337" s="138"/>
      <c r="Q337" s="136"/>
      <c r="R337" s="137"/>
      <c r="S337" s="253" t="s">
        <v>397</v>
      </c>
    </row>
    <row r="338" spans="2:19">
      <c r="C338" s="32" t="s">
        <v>398</v>
      </c>
      <c r="D338" s="33" t="s">
        <v>340</v>
      </c>
      <c r="E338" s="95" t="s">
        <v>376</v>
      </c>
      <c r="F338" s="56" t="s">
        <v>28</v>
      </c>
      <c r="G338" s="59" t="s">
        <v>28</v>
      </c>
      <c r="H338" s="2">
        <v>0</v>
      </c>
      <c r="I338" s="71">
        <v>-4</v>
      </c>
      <c r="K338" s="136"/>
      <c r="L338" s="119" t="s">
        <v>29</v>
      </c>
      <c r="M338" s="137" t="s">
        <v>30</v>
      </c>
      <c r="N338" s="136" t="s">
        <v>30</v>
      </c>
      <c r="O338" s="119"/>
      <c r="P338" s="138"/>
      <c r="Q338" s="136" t="s">
        <v>30</v>
      </c>
      <c r="R338" s="137">
        <v>2</v>
      </c>
      <c r="S338" s="38" t="s">
        <v>399</v>
      </c>
    </row>
    <row r="339" spans="2:19" ht="16.5" thickBot="1">
      <c r="C339" s="39" t="s">
        <v>400</v>
      </c>
      <c r="D339" s="40" t="s">
        <v>340</v>
      </c>
      <c r="E339" s="96" t="s">
        <v>376</v>
      </c>
      <c r="F339" s="60" t="s">
        <v>28</v>
      </c>
      <c r="G339" s="63" t="s">
        <v>28</v>
      </c>
      <c r="H339" s="8">
        <v>0</v>
      </c>
      <c r="I339" s="73">
        <v>-4</v>
      </c>
      <c r="K339" s="143"/>
      <c r="L339" s="145" t="s">
        <v>29</v>
      </c>
      <c r="M339" s="144" t="s">
        <v>30</v>
      </c>
      <c r="N339" s="143" t="s">
        <v>30</v>
      </c>
      <c r="O339" s="145"/>
      <c r="P339" s="146"/>
      <c r="Q339" s="143" t="s">
        <v>30</v>
      </c>
      <c r="R339" s="144">
        <v>2</v>
      </c>
      <c r="S339" s="49" t="s">
        <v>388</v>
      </c>
    </row>
    <row r="340" spans="2:19" ht="16.5" thickBot="1"/>
    <row r="341" spans="2:19" ht="16.5" customHeight="1" thickBot="1">
      <c r="B341" s="65" t="s">
        <v>401</v>
      </c>
      <c r="C341" s="209"/>
      <c r="D341" s="66"/>
      <c r="E341" s="66"/>
      <c r="F341" s="270" t="s">
        <v>1</v>
      </c>
      <c r="G341" s="271"/>
      <c r="H341" s="278" t="s">
        <v>2</v>
      </c>
      <c r="I341" s="279"/>
      <c r="K341" s="262" t="s">
        <v>3</v>
      </c>
      <c r="L341" s="263"/>
      <c r="M341" s="264"/>
      <c r="N341" s="262" t="s">
        <v>4</v>
      </c>
      <c r="O341" s="263"/>
      <c r="P341" s="265"/>
      <c r="Q341" s="268" t="s">
        <v>5</v>
      </c>
      <c r="R341" s="272" t="s">
        <v>6</v>
      </c>
      <c r="S341" s="274" t="s">
        <v>7</v>
      </c>
    </row>
    <row r="342" spans="2:19" ht="16.5" thickBot="1">
      <c r="C342" s="190" t="s">
        <v>8</v>
      </c>
      <c r="D342" s="191" t="s">
        <v>9</v>
      </c>
      <c r="E342" s="183" t="s">
        <v>10</v>
      </c>
      <c r="F342" s="186" t="s">
        <v>11</v>
      </c>
      <c r="G342" s="215" t="s">
        <v>12</v>
      </c>
      <c r="H342" s="176" t="s">
        <v>3</v>
      </c>
      <c r="I342" s="162" t="s">
        <v>4</v>
      </c>
      <c r="K342" s="20">
        <v>-4</v>
      </c>
      <c r="L342" s="21">
        <v>-5</v>
      </c>
      <c r="M342" s="22">
        <v>-6</v>
      </c>
      <c r="N342" s="20">
        <v>-4</v>
      </c>
      <c r="O342" s="21">
        <v>-5</v>
      </c>
      <c r="P342" s="23">
        <v>-6</v>
      </c>
      <c r="Q342" s="269"/>
      <c r="R342" s="273"/>
      <c r="S342" s="275"/>
    </row>
    <row r="343" spans="2:19">
      <c r="C343" s="4" t="s">
        <v>402</v>
      </c>
      <c r="D343" s="84" t="s">
        <v>403</v>
      </c>
      <c r="E343" s="85" t="s">
        <v>15</v>
      </c>
      <c r="F343" s="234" t="s">
        <v>16</v>
      </c>
      <c r="G343" s="152" t="s">
        <v>16</v>
      </c>
      <c r="H343" s="204">
        <v>0</v>
      </c>
      <c r="I343" s="205">
        <v>0</v>
      </c>
      <c r="K343" s="132"/>
      <c r="L343" s="133"/>
      <c r="M343" s="134"/>
      <c r="N343" s="132"/>
      <c r="O343" s="133"/>
      <c r="P343" s="135"/>
      <c r="Q343" s="132"/>
      <c r="R343" s="134"/>
      <c r="S343" s="31" t="s">
        <v>404</v>
      </c>
    </row>
    <row r="344" spans="2:19">
      <c r="C344" s="2" t="s">
        <v>405</v>
      </c>
      <c r="D344" s="86" t="s">
        <v>403</v>
      </c>
      <c r="E344" s="87" t="s">
        <v>15</v>
      </c>
      <c r="F344" s="233" t="s">
        <v>16</v>
      </c>
      <c r="G344" s="128" t="s">
        <v>16</v>
      </c>
      <c r="H344" s="120">
        <v>0</v>
      </c>
      <c r="I344" s="194">
        <v>0</v>
      </c>
      <c r="K344" s="136"/>
      <c r="L344" s="119"/>
      <c r="M344" s="137"/>
      <c r="N344" s="136"/>
      <c r="O344" s="119"/>
      <c r="P344" s="138"/>
      <c r="Q344" s="136"/>
      <c r="R344" s="137"/>
      <c r="S344" s="38" t="s">
        <v>404</v>
      </c>
    </row>
    <row r="345" spans="2:19">
      <c r="C345" s="2" t="s">
        <v>406</v>
      </c>
      <c r="D345" s="86" t="s">
        <v>403</v>
      </c>
      <c r="E345" s="87" t="s">
        <v>15</v>
      </c>
      <c r="F345" s="233" t="s">
        <v>16</v>
      </c>
      <c r="G345" s="128" t="s">
        <v>16</v>
      </c>
      <c r="H345" s="120">
        <v>0</v>
      </c>
      <c r="I345" s="194">
        <v>0</v>
      </c>
      <c r="K345" s="136"/>
      <c r="L345" s="119"/>
      <c r="M345" s="137"/>
      <c r="N345" s="136"/>
      <c r="O345" s="119"/>
      <c r="P345" s="138"/>
      <c r="Q345" s="136"/>
      <c r="R345" s="137"/>
      <c r="S345" s="38" t="s">
        <v>404</v>
      </c>
    </row>
    <row r="346" spans="2:19">
      <c r="C346" s="2" t="s">
        <v>407</v>
      </c>
      <c r="D346" s="86" t="s">
        <v>408</v>
      </c>
      <c r="E346" s="87" t="s">
        <v>15</v>
      </c>
      <c r="F346" s="233" t="s">
        <v>16</v>
      </c>
      <c r="G346" s="128" t="s">
        <v>16</v>
      </c>
      <c r="H346" s="120">
        <v>0</v>
      </c>
      <c r="I346" s="194">
        <v>0</v>
      </c>
      <c r="K346" s="136" t="s">
        <v>409</v>
      </c>
      <c r="L346" s="119" t="s">
        <v>21</v>
      </c>
      <c r="M346" s="137"/>
      <c r="N346" s="136"/>
      <c r="O346" s="119"/>
      <c r="P346" s="138"/>
      <c r="Q346" s="136"/>
      <c r="R346" s="137"/>
      <c r="S346" s="38" t="s">
        <v>22</v>
      </c>
    </row>
    <row r="347" spans="2:19" ht="16.5" thickBot="1">
      <c r="C347" s="8" t="s">
        <v>410</v>
      </c>
      <c r="D347" s="88" t="s">
        <v>408</v>
      </c>
      <c r="E347" s="89" t="s">
        <v>15</v>
      </c>
      <c r="F347" s="235" t="s">
        <v>16</v>
      </c>
      <c r="G347" s="153" t="s">
        <v>16</v>
      </c>
      <c r="H347" s="203">
        <v>0</v>
      </c>
      <c r="I347" s="200">
        <v>0</v>
      </c>
      <c r="K347" s="139" t="s">
        <v>29</v>
      </c>
      <c r="L347" s="140" t="s">
        <v>21</v>
      </c>
      <c r="M347" s="141"/>
      <c r="N347" s="139"/>
      <c r="O347" s="140"/>
      <c r="P347" s="142"/>
      <c r="Q347" s="143"/>
      <c r="R347" s="144"/>
      <c r="S347" s="46" t="s">
        <v>22</v>
      </c>
    </row>
    <row r="348" spans="2:19">
      <c r="C348" s="4" t="s">
        <v>411</v>
      </c>
      <c r="D348" s="84" t="s">
        <v>403</v>
      </c>
      <c r="E348" s="85" t="s">
        <v>220</v>
      </c>
      <c r="F348" s="4" t="s">
        <v>28</v>
      </c>
      <c r="G348" s="67" t="s">
        <v>28</v>
      </c>
      <c r="H348" s="6">
        <v>-6</v>
      </c>
      <c r="I348" s="68">
        <v>-4</v>
      </c>
      <c r="K348" s="132"/>
      <c r="L348" s="133"/>
      <c r="M348" s="134" t="s">
        <v>29</v>
      </c>
      <c r="N348" s="132" t="s">
        <v>30</v>
      </c>
      <c r="O348" s="133"/>
      <c r="P348" s="135"/>
      <c r="Q348" s="132" t="s">
        <v>17</v>
      </c>
      <c r="R348" s="134">
        <v>1</v>
      </c>
      <c r="S348" s="31"/>
    </row>
    <row r="349" spans="2:19">
      <c r="C349" s="2" t="s">
        <v>412</v>
      </c>
      <c r="D349" s="86" t="s">
        <v>403</v>
      </c>
      <c r="E349" s="87" t="s">
        <v>220</v>
      </c>
      <c r="F349" s="233" t="s">
        <v>16</v>
      </c>
      <c r="G349" s="128" t="s">
        <v>16</v>
      </c>
      <c r="H349" s="120">
        <v>0</v>
      </c>
      <c r="I349" s="194">
        <v>0</v>
      </c>
      <c r="K349" s="136"/>
      <c r="L349" s="119"/>
      <c r="M349" s="137"/>
      <c r="N349" s="136"/>
      <c r="O349" s="119"/>
      <c r="P349" s="138"/>
      <c r="Q349" s="136"/>
      <c r="R349" s="137"/>
      <c r="S349" s="38" t="s">
        <v>404</v>
      </c>
    </row>
    <row r="350" spans="2:19">
      <c r="C350" s="2" t="s">
        <v>413</v>
      </c>
      <c r="D350" s="86" t="s">
        <v>403</v>
      </c>
      <c r="E350" s="87" t="s">
        <v>220</v>
      </c>
      <c r="F350" s="233" t="s">
        <v>16</v>
      </c>
      <c r="G350" s="128" t="s">
        <v>16</v>
      </c>
      <c r="H350" s="120">
        <v>0</v>
      </c>
      <c r="I350" s="194">
        <v>0</v>
      </c>
      <c r="K350" s="136"/>
      <c r="L350" s="119"/>
      <c r="M350" s="137"/>
      <c r="N350" s="136"/>
      <c r="O350" s="119"/>
      <c r="P350" s="138"/>
      <c r="Q350" s="136"/>
      <c r="R350" s="137"/>
      <c r="S350" s="38" t="s">
        <v>404</v>
      </c>
    </row>
    <row r="351" spans="2:19">
      <c r="C351" s="2" t="s">
        <v>414</v>
      </c>
      <c r="D351" s="86" t="s">
        <v>403</v>
      </c>
      <c r="E351" s="87" t="s">
        <v>220</v>
      </c>
      <c r="F351" s="2" t="s">
        <v>28</v>
      </c>
      <c r="G351" s="1" t="s">
        <v>28</v>
      </c>
      <c r="H351" s="7">
        <v>-5</v>
      </c>
      <c r="I351" s="71">
        <v>-5</v>
      </c>
      <c r="K351" s="136"/>
      <c r="L351" s="119" t="s">
        <v>29</v>
      </c>
      <c r="M351" s="137"/>
      <c r="N351" s="136"/>
      <c r="O351" s="119" t="s">
        <v>30</v>
      </c>
      <c r="P351" s="138"/>
      <c r="Q351" s="136" t="s">
        <v>17</v>
      </c>
      <c r="R351" s="137">
        <v>1</v>
      </c>
      <c r="S351" s="38"/>
    </row>
    <row r="352" spans="2:19">
      <c r="C352" s="2" t="s">
        <v>415</v>
      </c>
      <c r="D352" s="86" t="s">
        <v>403</v>
      </c>
      <c r="E352" s="87" t="s">
        <v>220</v>
      </c>
      <c r="F352" s="2" t="s">
        <v>28</v>
      </c>
      <c r="G352" s="1" t="s">
        <v>28</v>
      </c>
      <c r="H352" s="7">
        <v>-5</v>
      </c>
      <c r="I352" s="71">
        <v>-5</v>
      </c>
      <c r="K352" s="136"/>
      <c r="L352" s="119" t="s">
        <v>29</v>
      </c>
      <c r="M352" s="137"/>
      <c r="N352" s="136"/>
      <c r="O352" s="119" t="s">
        <v>30</v>
      </c>
      <c r="P352" s="138"/>
      <c r="Q352" s="136" t="s">
        <v>17</v>
      </c>
      <c r="R352" s="137">
        <v>1</v>
      </c>
      <c r="S352" s="38"/>
    </row>
    <row r="353" spans="3:19">
      <c r="C353" s="70" t="s">
        <v>416</v>
      </c>
      <c r="D353" s="86" t="s">
        <v>403</v>
      </c>
      <c r="E353" s="87" t="s">
        <v>220</v>
      </c>
      <c r="F353" s="233" t="s">
        <v>16</v>
      </c>
      <c r="G353" s="128" t="s">
        <v>16</v>
      </c>
      <c r="H353" s="120">
        <v>0</v>
      </c>
      <c r="I353" s="194">
        <v>0</v>
      </c>
      <c r="K353" s="136"/>
      <c r="L353" s="119"/>
      <c r="M353" s="137"/>
      <c r="N353" s="136"/>
      <c r="O353" s="119"/>
      <c r="P353" s="138"/>
      <c r="Q353" s="136"/>
      <c r="R353" s="137"/>
      <c r="S353" s="38" t="s">
        <v>404</v>
      </c>
    </row>
    <row r="354" spans="3:19">
      <c r="C354" s="2" t="s">
        <v>417</v>
      </c>
      <c r="D354" s="86" t="s">
        <v>403</v>
      </c>
      <c r="E354" s="87" t="s">
        <v>220</v>
      </c>
      <c r="F354" s="233" t="s">
        <v>16</v>
      </c>
      <c r="G354" s="128" t="s">
        <v>16</v>
      </c>
      <c r="H354" s="120">
        <v>0</v>
      </c>
      <c r="I354" s="194">
        <v>0</v>
      </c>
      <c r="K354" s="136"/>
      <c r="L354" s="119"/>
      <c r="M354" s="137"/>
      <c r="N354" s="136"/>
      <c r="O354" s="119"/>
      <c r="P354" s="138"/>
      <c r="Q354" s="136"/>
      <c r="R354" s="137"/>
      <c r="S354" s="38" t="s">
        <v>404</v>
      </c>
    </row>
    <row r="355" spans="3:19">
      <c r="C355" s="2" t="s">
        <v>418</v>
      </c>
      <c r="D355" s="86" t="s">
        <v>403</v>
      </c>
      <c r="E355" s="87" t="s">
        <v>220</v>
      </c>
      <c r="F355" s="2" t="s">
        <v>28</v>
      </c>
      <c r="G355" s="1" t="s">
        <v>28</v>
      </c>
      <c r="H355" s="7">
        <v>-5</v>
      </c>
      <c r="I355" s="71">
        <v>-5</v>
      </c>
      <c r="K355" s="136"/>
      <c r="L355" s="119" t="s">
        <v>29</v>
      </c>
      <c r="M355" s="137"/>
      <c r="N355" s="136"/>
      <c r="O355" s="119" t="s">
        <v>30</v>
      </c>
      <c r="P355" s="138"/>
      <c r="Q355" s="136" t="s">
        <v>17</v>
      </c>
      <c r="R355" s="137">
        <v>1</v>
      </c>
      <c r="S355" s="38"/>
    </row>
    <row r="356" spans="3:19">
      <c r="C356" s="2" t="s">
        <v>419</v>
      </c>
      <c r="D356" s="86" t="s">
        <v>403</v>
      </c>
      <c r="E356" s="87" t="s">
        <v>220</v>
      </c>
      <c r="F356" s="233" t="s">
        <v>16</v>
      </c>
      <c r="G356" s="128" t="s">
        <v>16</v>
      </c>
      <c r="H356" s="120">
        <v>0</v>
      </c>
      <c r="I356" s="194">
        <v>0</v>
      </c>
      <c r="K356" s="136"/>
      <c r="L356" s="119"/>
      <c r="M356" s="137"/>
      <c r="N356" s="136"/>
      <c r="O356" s="119"/>
      <c r="P356" s="138"/>
      <c r="Q356" s="136"/>
      <c r="R356" s="137"/>
      <c r="S356" s="38" t="s">
        <v>404</v>
      </c>
    </row>
    <row r="357" spans="3:19" ht="16.5" thickBot="1">
      <c r="C357" s="8" t="s">
        <v>420</v>
      </c>
      <c r="D357" s="90" t="s">
        <v>403</v>
      </c>
      <c r="E357" s="91" t="s">
        <v>220</v>
      </c>
      <c r="F357" s="235" t="s">
        <v>16</v>
      </c>
      <c r="G357" s="153" t="s">
        <v>16</v>
      </c>
      <c r="H357" s="203">
        <v>0</v>
      </c>
      <c r="I357" s="200">
        <v>0</v>
      </c>
      <c r="K357" s="143"/>
      <c r="L357" s="145"/>
      <c r="M357" s="144"/>
      <c r="N357" s="143"/>
      <c r="O357" s="145"/>
      <c r="P357" s="146"/>
      <c r="Q357" s="143"/>
      <c r="R357" s="144"/>
      <c r="S357" s="49" t="s">
        <v>404</v>
      </c>
    </row>
    <row r="358" spans="3:19">
      <c r="C358" s="4" t="s">
        <v>421</v>
      </c>
      <c r="D358" s="84" t="s">
        <v>408</v>
      </c>
      <c r="E358" s="85" t="s">
        <v>220</v>
      </c>
      <c r="F358" s="234" t="s">
        <v>16</v>
      </c>
      <c r="G358" s="152" t="s">
        <v>16</v>
      </c>
      <c r="H358" s="204">
        <v>0</v>
      </c>
      <c r="I358" s="205">
        <v>0</v>
      </c>
      <c r="K358" s="147" t="s">
        <v>78</v>
      </c>
      <c r="L358" s="148" t="s">
        <v>422</v>
      </c>
      <c r="M358" s="149"/>
      <c r="N358" s="147"/>
      <c r="O358" s="148"/>
      <c r="P358" s="150"/>
      <c r="Q358" s="132"/>
      <c r="R358" s="134"/>
      <c r="S358" s="50" t="s">
        <v>22</v>
      </c>
    </row>
    <row r="359" spans="3:19">
      <c r="C359" s="2" t="s">
        <v>423</v>
      </c>
      <c r="D359" s="86" t="s">
        <v>408</v>
      </c>
      <c r="E359" s="87" t="s">
        <v>220</v>
      </c>
      <c r="F359" s="233" t="s">
        <v>16</v>
      </c>
      <c r="G359" s="128" t="s">
        <v>16</v>
      </c>
      <c r="H359" s="120">
        <v>0</v>
      </c>
      <c r="I359" s="194">
        <v>0</v>
      </c>
      <c r="K359" s="136" t="s">
        <v>424</v>
      </c>
      <c r="L359" s="119" t="s">
        <v>273</v>
      </c>
      <c r="M359" s="137"/>
      <c r="N359" s="136"/>
      <c r="O359" s="119"/>
      <c r="P359" s="138"/>
      <c r="Q359" s="136"/>
      <c r="R359" s="137"/>
      <c r="S359" s="38" t="s">
        <v>22</v>
      </c>
    </row>
    <row r="360" spans="3:19">
      <c r="C360" s="2" t="s">
        <v>425</v>
      </c>
      <c r="D360" s="86" t="s">
        <v>408</v>
      </c>
      <c r="E360" s="87" t="s">
        <v>220</v>
      </c>
      <c r="F360" s="2" t="s">
        <v>28</v>
      </c>
      <c r="G360" s="1" t="s">
        <v>28</v>
      </c>
      <c r="H360" s="7">
        <v>-4</v>
      </c>
      <c r="I360" s="1">
        <v>-4</v>
      </c>
      <c r="K360" s="136" t="s">
        <v>29</v>
      </c>
      <c r="L360" s="119"/>
      <c r="M360" s="137"/>
      <c r="N360" s="136" t="s">
        <v>30</v>
      </c>
      <c r="O360" s="119"/>
      <c r="P360" s="138"/>
      <c r="Q360" s="136" t="s">
        <v>17</v>
      </c>
      <c r="R360" s="137">
        <v>1</v>
      </c>
      <c r="S360" s="38"/>
    </row>
    <row r="361" spans="3:19">
      <c r="C361" s="2" t="s">
        <v>426</v>
      </c>
      <c r="D361" s="86" t="s">
        <v>408</v>
      </c>
      <c r="E361" s="87" t="s">
        <v>220</v>
      </c>
      <c r="F361" s="233" t="s">
        <v>16</v>
      </c>
      <c r="G361" s="128" t="s">
        <v>16</v>
      </c>
      <c r="H361" s="120">
        <v>0</v>
      </c>
      <c r="I361" s="194">
        <v>0</v>
      </c>
      <c r="K361" s="136" t="s">
        <v>424</v>
      </c>
      <c r="L361" s="119" t="s">
        <v>273</v>
      </c>
      <c r="M361" s="137"/>
      <c r="N361" s="136"/>
      <c r="O361" s="119"/>
      <c r="P361" s="138"/>
      <c r="Q361" s="136"/>
      <c r="R361" s="137"/>
      <c r="S361" s="38" t="s">
        <v>22</v>
      </c>
    </row>
    <row r="362" spans="3:19">
      <c r="C362" s="2" t="s">
        <v>427</v>
      </c>
      <c r="D362" s="86" t="s">
        <v>408</v>
      </c>
      <c r="E362" s="87" t="s">
        <v>220</v>
      </c>
      <c r="F362" s="2" t="s">
        <v>28</v>
      </c>
      <c r="G362" s="1" t="s">
        <v>28</v>
      </c>
      <c r="H362" s="7">
        <v>-5</v>
      </c>
      <c r="I362" s="1">
        <v>-4</v>
      </c>
      <c r="K362" s="136"/>
      <c r="L362" s="119" t="s">
        <v>29</v>
      </c>
      <c r="M362" s="137"/>
      <c r="N362" s="136" t="s">
        <v>30</v>
      </c>
      <c r="O362" s="119"/>
      <c r="P362" s="138"/>
      <c r="Q362" s="136" t="s">
        <v>17</v>
      </c>
      <c r="R362" s="137">
        <v>1</v>
      </c>
      <c r="S362" s="38"/>
    </row>
    <row r="363" spans="3:19">
      <c r="C363" s="70" t="s">
        <v>428</v>
      </c>
      <c r="D363" s="86" t="s">
        <v>408</v>
      </c>
      <c r="E363" s="87" t="s">
        <v>220</v>
      </c>
      <c r="F363" s="233" t="s">
        <v>350</v>
      </c>
      <c r="G363" s="129" t="s">
        <v>350</v>
      </c>
      <c r="H363" s="131">
        <v>0</v>
      </c>
      <c r="I363" s="210">
        <v>0</v>
      </c>
      <c r="K363" s="136"/>
      <c r="L363" s="119" t="s">
        <v>429</v>
      </c>
      <c r="M363" s="137" t="s">
        <v>430</v>
      </c>
      <c r="N363" s="136"/>
      <c r="O363" s="119"/>
      <c r="P363" s="138"/>
      <c r="Q363" s="136"/>
      <c r="R363" s="137"/>
      <c r="S363" s="38" t="s">
        <v>22</v>
      </c>
    </row>
    <row r="364" spans="3:19">
      <c r="C364" s="2" t="s">
        <v>431</v>
      </c>
      <c r="D364" s="86" t="s">
        <v>408</v>
      </c>
      <c r="E364" s="87" t="s">
        <v>220</v>
      </c>
      <c r="F364" s="233" t="s">
        <v>16</v>
      </c>
      <c r="G364" s="128" t="s">
        <v>16</v>
      </c>
      <c r="H364" s="120">
        <v>0</v>
      </c>
      <c r="I364" s="194">
        <v>0</v>
      </c>
      <c r="K364" s="136" t="s">
        <v>432</v>
      </c>
      <c r="L364" s="119" t="s">
        <v>59</v>
      </c>
      <c r="M364" s="137" t="s">
        <v>430</v>
      </c>
      <c r="N364" s="136"/>
      <c r="O364" s="119"/>
      <c r="P364" s="138"/>
      <c r="Q364" s="136"/>
      <c r="R364" s="137"/>
      <c r="S364" s="38" t="s">
        <v>22</v>
      </c>
    </row>
    <row r="365" spans="3:19">
      <c r="C365" s="2" t="s">
        <v>433</v>
      </c>
      <c r="D365" s="86" t="s">
        <v>408</v>
      </c>
      <c r="E365" s="87" t="s">
        <v>220</v>
      </c>
      <c r="F365" s="233" t="s">
        <v>16</v>
      </c>
      <c r="G365" s="128" t="s">
        <v>16</v>
      </c>
      <c r="H365" s="120">
        <v>0</v>
      </c>
      <c r="I365" s="194">
        <v>0</v>
      </c>
      <c r="K365" s="136" t="s">
        <v>432</v>
      </c>
      <c r="L365" s="119" t="s">
        <v>59</v>
      </c>
      <c r="M365" s="137" t="s">
        <v>430</v>
      </c>
      <c r="N365" s="136"/>
      <c r="O365" s="119"/>
      <c r="P365" s="138"/>
      <c r="Q365" s="136"/>
      <c r="R365" s="137"/>
      <c r="S365" s="38" t="s">
        <v>22</v>
      </c>
    </row>
    <row r="366" spans="3:19">
      <c r="C366" s="2" t="s">
        <v>434</v>
      </c>
      <c r="D366" s="86" t="s">
        <v>408</v>
      </c>
      <c r="E366" s="87" t="s">
        <v>220</v>
      </c>
      <c r="F366" s="2" t="s">
        <v>28</v>
      </c>
      <c r="G366" s="1" t="s">
        <v>28</v>
      </c>
      <c r="H366" s="7">
        <v>-4</v>
      </c>
      <c r="I366" s="71">
        <v>0</v>
      </c>
      <c r="K366" s="136" t="s">
        <v>17</v>
      </c>
      <c r="L366" s="119"/>
      <c r="M366" s="137"/>
      <c r="N366" s="136"/>
      <c r="O366" s="119"/>
      <c r="P366" s="138"/>
      <c r="Q366" s="136" t="s">
        <v>17</v>
      </c>
      <c r="R366" s="137">
        <v>1</v>
      </c>
      <c r="S366" s="38"/>
    </row>
    <row r="367" spans="3:19" ht="16.5" thickBot="1">
      <c r="C367" s="8" t="s">
        <v>435</v>
      </c>
      <c r="D367" s="88" t="s">
        <v>408</v>
      </c>
      <c r="E367" s="89" t="s">
        <v>220</v>
      </c>
      <c r="F367" s="235" t="s">
        <v>16</v>
      </c>
      <c r="G367" s="153" t="s">
        <v>16</v>
      </c>
      <c r="H367" s="203">
        <v>0</v>
      </c>
      <c r="I367" s="200">
        <v>0</v>
      </c>
      <c r="K367" s="143"/>
      <c r="L367" s="145" t="s">
        <v>21</v>
      </c>
      <c r="M367" s="144"/>
      <c r="N367" s="143"/>
      <c r="O367" s="145"/>
      <c r="P367" s="146"/>
      <c r="Q367" s="143"/>
      <c r="R367" s="144"/>
      <c r="S367" s="49" t="s">
        <v>22</v>
      </c>
    </row>
    <row r="368" spans="3:19" ht="16.5" thickBot="1"/>
    <row r="369" spans="2:19" ht="16.5" customHeight="1" thickBot="1">
      <c r="B369" s="65" t="s">
        <v>436</v>
      </c>
      <c r="C369" s="209"/>
      <c r="D369" s="66"/>
      <c r="E369" s="66"/>
      <c r="F369" s="270" t="s">
        <v>1</v>
      </c>
      <c r="G369" s="271"/>
      <c r="H369" s="282" t="s">
        <v>2</v>
      </c>
      <c r="I369" s="283"/>
      <c r="K369" s="262" t="s">
        <v>3</v>
      </c>
      <c r="L369" s="263"/>
      <c r="M369" s="264"/>
      <c r="N369" s="262" t="s">
        <v>4</v>
      </c>
      <c r="O369" s="263"/>
      <c r="P369" s="265"/>
      <c r="Q369" s="268" t="s">
        <v>5</v>
      </c>
      <c r="R369" s="272" t="s">
        <v>6</v>
      </c>
      <c r="S369" s="274" t="s">
        <v>7</v>
      </c>
    </row>
    <row r="370" spans="2:19" ht="16.5" thickBot="1">
      <c r="C370" s="181" t="s">
        <v>8</v>
      </c>
      <c r="D370" s="182" t="s">
        <v>9</v>
      </c>
      <c r="E370" s="216" t="s">
        <v>10</v>
      </c>
      <c r="F370" s="245" t="s">
        <v>11</v>
      </c>
      <c r="G370" s="184" t="s">
        <v>12</v>
      </c>
      <c r="H370" s="163" t="s">
        <v>3</v>
      </c>
      <c r="I370" s="164" t="s">
        <v>4</v>
      </c>
      <c r="K370" s="20">
        <v>-4</v>
      </c>
      <c r="L370" s="21">
        <v>-5</v>
      </c>
      <c r="M370" s="22">
        <v>-6</v>
      </c>
      <c r="N370" s="20">
        <v>-4</v>
      </c>
      <c r="O370" s="21">
        <v>-5</v>
      </c>
      <c r="P370" s="23">
        <v>-6</v>
      </c>
      <c r="Q370" s="269"/>
      <c r="R370" s="273"/>
      <c r="S370" s="275"/>
    </row>
    <row r="371" spans="2:19">
      <c r="C371" s="4" t="s">
        <v>437</v>
      </c>
      <c r="D371" s="84" t="s">
        <v>403</v>
      </c>
      <c r="E371" s="97" t="s">
        <v>15</v>
      </c>
      <c r="F371" s="233" t="s">
        <v>16</v>
      </c>
      <c r="G371" s="128" t="s">
        <v>16</v>
      </c>
      <c r="H371" s="124">
        <v>0</v>
      </c>
      <c r="I371" s="205">
        <v>0</v>
      </c>
      <c r="K371" s="132"/>
      <c r="L371" s="133"/>
      <c r="M371" s="134"/>
      <c r="N371" s="132"/>
      <c r="O371" s="133"/>
      <c r="P371" s="135"/>
      <c r="Q371" s="132"/>
      <c r="R371" s="134"/>
      <c r="S371" s="31" t="s">
        <v>404</v>
      </c>
    </row>
    <row r="372" spans="2:19">
      <c r="C372" s="2" t="s">
        <v>438</v>
      </c>
      <c r="D372" s="86" t="s">
        <v>403</v>
      </c>
      <c r="E372" s="98" t="s">
        <v>15</v>
      </c>
      <c r="F372" s="233" t="s">
        <v>16</v>
      </c>
      <c r="G372" s="128" t="s">
        <v>16</v>
      </c>
      <c r="H372" s="125">
        <v>0</v>
      </c>
      <c r="I372" s="194">
        <v>0</v>
      </c>
      <c r="K372" s="136"/>
      <c r="L372" s="119"/>
      <c r="M372" s="137"/>
      <c r="N372" s="136"/>
      <c r="O372" s="119"/>
      <c r="P372" s="138"/>
      <c r="Q372" s="136"/>
      <c r="R372" s="137"/>
      <c r="S372" s="38" t="s">
        <v>404</v>
      </c>
    </row>
    <row r="373" spans="2:19">
      <c r="C373" s="2" t="s">
        <v>439</v>
      </c>
      <c r="D373" s="86" t="s">
        <v>403</v>
      </c>
      <c r="E373" s="98" t="s">
        <v>15</v>
      </c>
      <c r="F373" s="233" t="s">
        <v>16</v>
      </c>
      <c r="G373" s="128" t="s">
        <v>16</v>
      </c>
      <c r="H373" s="125">
        <v>0</v>
      </c>
      <c r="I373" s="194">
        <v>0</v>
      </c>
      <c r="K373" s="136"/>
      <c r="L373" s="119"/>
      <c r="M373" s="137"/>
      <c r="N373" s="136"/>
      <c r="O373" s="119"/>
      <c r="P373" s="138"/>
      <c r="Q373" s="136"/>
      <c r="R373" s="137"/>
      <c r="S373" s="38" t="s">
        <v>404</v>
      </c>
    </row>
    <row r="374" spans="2:19">
      <c r="C374" s="2" t="s">
        <v>440</v>
      </c>
      <c r="D374" s="86" t="s">
        <v>408</v>
      </c>
      <c r="E374" s="98" t="s">
        <v>15</v>
      </c>
      <c r="F374" s="233" t="s">
        <v>16</v>
      </c>
      <c r="G374" s="128" t="s">
        <v>16</v>
      </c>
      <c r="H374" s="125">
        <v>0</v>
      </c>
      <c r="I374" s="194">
        <v>0</v>
      </c>
      <c r="K374" s="136" t="s">
        <v>29</v>
      </c>
      <c r="L374" s="119" t="s">
        <v>21</v>
      </c>
      <c r="M374" s="137"/>
      <c r="N374" s="136"/>
      <c r="O374" s="119"/>
      <c r="P374" s="138"/>
      <c r="Q374" s="136"/>
      <c r="R374" s="137"/>
      <c r="S374" s="38" t="s">
        <v>22</v>
      </c>
    </row>
    <row r="375" spans="2:19" ht="16.5" thickBot="1">
      <c r="C375" s="8" t="s">
        <v>441</v>
      </c>
      <c r="D375" s="88" t="s">
        <v>408</v>
      </c>
      <c r="E375" s="99" t="s">
        <v>15</v>
      </c>
      <c r="F375" s="233" t="s">
        <v>16</v>
      </c>
      <c r="G375" s="128" t="s">
        <v>16</v>
      </c>
      <c r="H375" s="126">
        <v>0</v>
      </c>
      <c r="I375" s="200">
        <v>0</v>
      </c>
      <c r="K375" s="139" t="s">
        <v>29</v>
      </c>
      <c r="L375" s="140" t="s">
        <v>21</v>
      </c>
      <c r="M375" s="141"/>
      <c r="N375" s="139"/>
      <c r="O375" s="140"/>
      <c r="P375" s="142"/>
      <c r="Q375" s="143"/>
      <c r="R375" s="144"/>
      <c r="S375" s="46" t="s">
        <v>22</v>
      </c>
    </row>
    <row r="376" spans="2:19">
      <c r="C376" s="4" t="s">
        <v>442</v>
      </c>
      <c r="D376" s="84" t="s">
        <v>403</v>
      </c>
      <c r="E376" s="97" t="s">
        <v>443</v>
      </c>
      <c r="F376" s="4" t="s">
        <v>28</v>
      </c>
      <c r="G376" s="67" t="s">
        <v>28</v>
      </c>
      <c r="H376" s="4">
        <v>-5</v>
      </c>
      <c r="I376" s="68">
        <v>-5</v>
      </c>
      <c r="K376" s="132"/>
      <c r="L376" s="133" t="s">
        <v>29</v>
      </c>
      <c r="M376" s="134"/>
      <c r="N376" s="132"/>
      <c r="O376" s="133" t="s">
        <v>30</v>
      </c>
      <c r="P376" s="135"/>
      <c r="Q376" s="132" t="s">
        <v>17</v>
      </c>
      <c r="R376" s="134">
        <v>2</v>
      </c>
      <c r="S376" s="31"/>
    </row>
    <row r="377" spans="2:19">
      <c r="C377" s="2" t="s">
        <v>444</v>
      </c>
      <c r="D377" s="86" t="s">
        <v>403</v>
      </c>
      <c r="E377" s="98" t="s">
        <v>443</v>
      </c>
      <c r="F377" s="2" t="s">
        <v>28</v>
      </c>
      <c r="G377" s="1" t="s">
        <v>28</v>
      </c>
      <c r="H377" s="2">
        <v>-5</v>
      </c>
      <c r="I377" s="71">
        <v>-5</v>
      </c>
      <c r="K377" s="136"/>
      <c r="L377" s="119" t="s">
        <v>29</v>
      </c>
      <c r="M377" s="137"/>
      <c r="N377" s="136"/>
      <c r="O377" s="119" t="s">
        <v>30</v>
      </c>
      <c r="P377" s="138"/>
      <c r="Q377" s="136" t="s">
        <v>17</v>
      </c>
      <c r="R377" s="137">
        <v>2</v>
      </c>
      <c r="S377" s="38"/>
    </row>
    <row r="378" spans="2:19">
      <c r="C378" s="2" t="s">
        <v>445</v>
      </c>
      <c r="D378" s="86" t="s">
        <v>403</v>
      </c>
      <c r="E378" s="98" t="s">
        <v>443</v>
      </c>
      <c r="F378" s="2" t="s">
        <v>28</v>
      </c>
      <c r="G378" s="1" t="s">
        <v>28</v>
      </c>
      <c r="H378" s="2">
        <v>-4</v>
      </c>
      <c r="I378" s="71">
        <v>-4</v>
      </c>
      <c r="K378" s="136" t="s">
        <v>30</v>
      </c>
      <c r="L378" s="119"/>
      <c r="M378" s="137"/>
      <c r="N378" s="136" t="s">
        <v>29</v>
      </c>
      <c r="O378" s="119"/>
      <c r="P378" s="138"/>
      <c r="Q378" s="136" t="s">
        <v>17</v>
      </c>
      <c r="R378" s="137">
        <v>1</v>
      </c>
      <c r="S378" s="38"/>
    </row>
    <row r="379" spans="2:19">
      <c r="C379" s="2" t="s">
        <v>446</v>
      </c>
      <c r="D379" s="86" t="s">
        <v>403</v>
      </c>
      <c r="E379" s="98" t="s">
        <v>443</v>
      </c>
      <c r="F379" s="2" t="s">
        <v>28</v>
      </c>
      <c r="G379" s="1" t="s">
        <v>28</v>
      </c>
      <c r="H379" s="2">
        <v>-4</v>
      </c>
      <c r="I379" s="71">
        <v>-4</v>
      </c>
      <c r="K379" s="136" t="s">
        <v>29</v>
      </c>
      <c r="L379" s="119"/>
      <c r="M379" s="137"/>
      <c r="N379" s="136" t="s">
        <v>30</v>
      </c>
      <c r="O379" s="119"/>
      <c r="P379" s="138"/>
      <c r="Q379" s="136" t="s">
        <v>17</v>
      </c>
      <c r="R379" s="137">
        <v>2</v>
      </c>
      <c r="S379" s="38"/>
    </row>
    <row r="380" spans="2:19">
      <c r="C380" s="2" t="s">
        <v>447</v>
      </c>
      <c r="D380" s="86" t="s">
        <v>403</v>
      </c>
      <c r="E380" s="98" t="s">
        <v>443</v>
      </c>
      <c r="F380" s="2" t="s">
        <v>28</v>
      </c>
      <c r="G380" s="1" t="s">
        <v>28</v>
      </c>
      <c r="H380" s="2">
        <v>-5</v>
      </c>
      <c r="I380" s="71">
        <v>-5</v>
      </c>
      <c r="K380" s="136"/>
      <c r="L380" s="119" t="s">
        <v>29</v>
      </c>
      <c r="M380" s="137"/>
      <c r="N380" s="136"/>
      <c r="O380" s="119" t="s">
        <v>30</v>
      </c>
      <c r="P380" s="138"/>
      <c r="Q380" s="136" t="s">
        <v>17</v>
      </c>
      <c r="R380" s="137">
        <v>2</v>
      </c>
      <c r="S380" s="38"/>
    </row>
    <row r="381" spans="2:19">
      <c r="C381" s="2" t="s">
        <v>448</v>
      </c>
      <c r="D381" s="86" t="s">
        <v>403</v>
      </c>
      <c r="E381" s="98" t="s">
        <v>443</v>
      </c>
      <c r="F381" s="2" t="s">
        <v>28</v>
      </c>
      <c r="G381" s="1" t="s">
        <v>28</v>
      </c>
      <c r="H381" s="2">
        <v>-5</v>
      </c>
      <c r="I381" s="71">
        <v>-5</v>
      </c>
      <c r="K381" s="136"/>
      <c r="L381" s="119" t="s">
        <v>29</v>
      </c>
      <c r="M381" s="137"/>
      <c r="N381" s="136"/>
      <c r="O381" s="119" t="s">
        <v>30</v>
      </c>
      <c r="P381" s="138"/>
      <c r="Q381" s="136" t="s">
        <v>17</v>
      </c>
      <c r="R381" s="137">
        <v>2</v>
      </c>
      <c r="S381" s="38"/>
    </row>
    <row r="382" spans="2:19">
      <c r="C382" s="2" t="s">
        <v>449</v>
      </c>
      <c r="D382" s="86" t="s">
        <v>403</v>
      </c>
      <c r="E382" s="98" t="s">
        <v>443</v>
      </c>
      <c r="F382" s="2" t="s">
        <v>28</v>
      </c>
      <c r="G382" s="1" t="s">
        <v>28</v>
      </c>
      <c r="H382" s="2">
        <v>-5</v>
      </c>
      <c r="I382" s="71">
        <v>-5</v>
      </c>
      <c r="K382" s="136"/>
      <c r="L382" s="119" t="s">
        <v>29</v>
      </c>
      <c r="M382" s="137"/>
      <c r="N382" s="136"/>
      <c r="O382" s="119" t="s">
        <v>30</v>
      </c>
      <c r="P382" s="138"/>
      <c r="Q382" s="136" t="s">
        <v>17</v>
      </c>
      <c r="R382" s="137">
        <v>2</v>
      </c>
      <c r="S382" s="38"/>
    </row>
    <row r="383" spans="2:19">
      <c r="C383" s="2" t="s">
        <v>450</v>
      </c>
      <c r="D383" s="86" t="s">
        <v>403</v>
      </c>
      <c r="E383" s="98" t="s">
        <v>443</v>
      </c>
      <c r="F383" s="2" t="s">
        <v>28</v>
      </c>
      <c r="G383" s="1" t="s">
        <v>28</v>
      </c>
      <c r="H383" s="2">
        <v>-5</v>
      </c>
      <c r="I383" s="71">
        <v>-5</v>
      </c>
      <c r="K383" s="136"/>
      <c r="L383" s="119" t="s">
        <v>29</v>
      </c>
      <c r="M383" s="137"/>
      <c r="N383" s="136"/>
      <c r="O383" s="119" t="s">
        <v>30</v>
      </c>
      <c r="P383" s="138"/>
      <c r="Q383" s="136" t="s">
        <v>17</v>
      </c>
      <c r="R383" s="137">
        <v>2</v>
      </c>
      <c r="S383" s="38"/>
    </row>
    <row r="384" spans="2:19">
      <c r="C384" s="2" t="s">
        <v>451</v>
      </c>
      <c r="D384" s="86" t="s">
        <v>403</v>
      </c>
      <c r="E384" s="98" t="s">
        <v>443</v>
      </c>
      <c r="F384" s="2" t="s">
        <v>28</v>
      </c>
      <c r="G384" s="1" t="s">
        <v>28</v>
      </c>
      <c r="H384" s="2">
        <v>-5</v>
      </c>
      <c r="I384" s="71">
        <v>-5</v>
      </c>
      <c r="K384" s="136"/>
      <c r="L384" s="119" t="s">
        <v>29</v>
      </c>
      <c r="M384" s="137"/>
      <c r="N384" s="136"/>
      <c r="O384" s="119" t="s">
        <v>30</v>
      </c>
      <c r="P384" s="138"/>
      <c r="Q384" s="136" t="s">
        <v>17</v>
      </c>
      <c r="R384" s="137">
        <v>2</v>
      </c>
      <c r="S384" s="38"/>
    </row>
    <row r="385" spans="2:19" ht="16.5" thickBot="1">
      <c r="C385" s="8" t="s">
        <v>452</v>
      </c>
      <c r="D385" s="88" t="s">
        <v>403</v>
      </c>
      <c r="E385" s="99" t="s">
        <v>443</v>
      </c>
      <c r="F385" s="246" t="s">
        <v>28</v>
      </c>
      <c r="G385" s="78" t="s">
        <v>28</v>
      </c>
      <c r="H385" s="8">
        <v>-5</v>
      </c>
      <c r="I385" s="73">
        <v>-5</v>
      </c>
      <c r="K385" s="143"/>
      <c r="L385" s="145" t="s">
        <v>29</v>
      </c>
      <c r="M385" s="144"/>
      <c r="N385" s="143"/>
      <c r="O385" s="145" t="s">
        <v>30</v>
      </c>
      <c r="P385" s="146"/>
      <c r="Q385" s="143" t="s">
        <v>17</v>
      </c>
      <c r="R385" s="144">
        <v>2</v>
      </c>
      <c r="S385" s="49"/>
    </row>
    <row r="386" spans="2:19">
      <c r="C386" s="4" t="s">
        <v>453</v>
      </c>
      <c r="D386" s="84" t="s">
        <v>408</v>
      </c>
      <c r="E386" s="97" t="s">
        <v>443</v>
      </c>
      <c r="F386" s="4" t="s">
        <v>28</v>
      </c>
      <c r="G386" s="67" t="s">
        <v>28</v>
      </c>
      <c r="H386" s="4">
        <v>-4</v>
      </c>
      <c r="I386" s="68">
        <v>-5</v>
      </c>
      <c r="K386" s="147" t="s">
        <v>29</v>
      </c>
      <c r="L386" s="148"/>
      <c r="M386" s="149"/>
      <c r="N386" s="147" t="s">
        <v>30</v>
      </c>
      <c r="O386" s="148"/>
      <c r="P386" s="150"/>
      <c r="Q386" s="132" t="s">
        <v>17</v>
      </c>
      <c r="R386" s="134">
        <v>2</v>
      </c>
      <c r="S386" s="50"/>
    </row>
    <row r="387" spans="2:19">
      <c r="C387" s="2" t="s">
        <v>454</v>
      </c>
      <c r="D387" s="86" t="s">
        <v>408</v>
      </c>
      <c r="E387" s="98" t="s">
        <v>443</v>
      </c>
      <c r="F387" s="2" t="s">
        <v>28</v>
      </c>
      <c r="G387" s="1" t="s">
        <v>28</v>
      </c>
      <c r="H387" s="2">
        <v>-5</v>
      </c>
      <c r="I387" s="71">
        <v>-4</v>
      </c>
      <c r="K387" s="136" t="s">
        <v>29</v>
      </c>
      <c r="L387" s="119" t="s">
        <v>30</v>
      </c>
      <c r="M387" s="137"/>
      <c r="N387" s="136" t="s">
        <v>30</v>
      </c>
      <c r="O387" s="119"/>
      <c r="P387" s="138"/>
      <c r="Q387" s="136" t="s">
        <v>30</v>
      </c>
      <c r="R387" s="137">
        <v>2</v>
      </c>
      <c r="S387" s="38"/>
    </row>
    <row r="388" spans="2:19">
      <c r="C388" s="2" t="s">
        <v>455</v>
      </c>
      <c r="D388" s="86" t="s">
        <v>408</v>
      </c>
      <c r="E388" s="98" t="s">
        <v>443</v>
      </c>
      <c r="F388" s="2" t="s">
        <v>28</v>
      </c>
      <c r="G388" s="1" t="s">
        <v>28</v>
      </c>
      <c r="H388" s="201" t="s">
        <v>73</v>
      </c>
      <c r="I388" s="71">
        <v>-4</v>
      </c>
      <c r="K388" s="136" t="s">
        <v>29</v>
      </c>
      <c r="L388" s="119" t="s">
        <v>30</v>
      </c>
      <c r="M388" s="137"/>
      <c r="N388" s="136" t="s">
        <v>30</v>
      </c>
      <c r="O388" s="119"/>
      <c r="P388" s="138"/>
      <c r="Q388" s="136" t="s">
        <v>17</v>
      </c>
      <c r="R388" s="137">
        <v>2</v>
      </c>
      <c r="S388" s="38"/>
    </row>
    <row r="389" spans="2:19">
      <c r="C389" s="2" t="s">
        <v>456</v>
      </c>
      <c r="D389" s="86" t="s">
        <v>408</v>
      </c>
      <c r="E389" s="98" t="s">
        <v>443</v>
      </c>
      <c r="F389" s="2" t="s">
        <v>28</v>
      </c>
      <c r="G389" s="1" t="s">
        <v>28</v>
      </c>
      <c r="H389" s="2">
        <v>-4</v>
      </c>
      <c r="I389" s="211" t="s">
        <v>73</v>
      </c>
      <c r="K389" s="136" t="s">
        <v>457</v>
      </c>
      <c r="L389" s="119" t="s">
        <v>409</v>
      </c>
      <c r="M389" s="137"/>
      <c r="N389" s="136" t="s">
        <v>351</v>
      </c>
      <c r="O389" s="119" t="s">
        <v>61</v>
      </c>
      <c r="P389" s="138"/>
      <c r="Q389" s="136" t="s">
        <v>458</v>
      </c>
      <c r="R389" s="137">
        <v>3</v>
      </c>
      <c r="S389" s="38"/>
    </row>
    <row r="390" spans="2:19">
      <c r="C390" s="2" t="s">
        <v>459</v>
      </c>
      <c r="D390" s="86" t="s">
        <v>408</v>
      </c>
      <c r="E390" s="98" t="s">
        <v>443</v>
      </c>
      <c r="F390" s="2" t="s">
        <v>28</v>
      </c>
      <c r="G390" s="1" t="s">
        <v>28</v>
      </c>
      <c r="H390" s="2">
        <v>-5</v>
      </c>
      <c r="I390" s="71">
        <v>-4</v>
      </c>
      <c r="K390" s="136"/>
      <c r="L390" s="119" t="s">
        <v>17</v>
      </c>
      <c r="M390" s="137"/>
      <c r="N390" s="136" t="s">
        <v>30</v>
      </c>
      <c r="O390" s="119"/>
      <c r="P390" s="138"/>
      <c r="Q390" s="136" t="s">
        <v>17</v>
      </c>
      <c r="R390" s="137">
        <v>2</v>
      </c>
      <c r="S390" s="38"/>
    </row>
    <row r="391" spans="2:19">
      <c r="C391" s="2" t="s">
        <v>460</v>
      </c>
      <c r="D391" s="86" t="s">
        <v>408</v>
      </c>
      <c r="E391" s="98" t="s">
        <v>443</v>
      </c>
      <c r="F391" s="2" t="s">
        <v>28</v>
      </c>
      <c r="G391" s="1" t="s">
        <v>28</v>
      </c>
      <c r="H391" s="2">
        <v>-5</v>
      </c>
      <c r="I391" s="71">
        <v>-4</v>
      </c>
      <c r="K391" s="136"/>
      <c r="L391" s="119" t="s">
        <v>17</v>
      </c>
      <c r="M391" s="137"/>
      <c r="N391" s="136" t="s">
        <v>30</v>
      </c>
      <c r="O391" s="119"/>
      <c r="P391" s="138"/>
      <c r="Q391" s="136" t="s">
        <v>17</v>
      </c>
      <c r="R391" s="137">
        <v>2</v>
      </c>
      <c r="S391" s="38"/>
    </row>
    <row r="392" spans="2:19">
      <c r="C392" s="2" t="s">
        <v>461</v>
      </c>
      <c r="D392" s="86" t="s">
        <v>408</v>
      </c>
      <c r="E392" s="98" t="s">
        <v>443</v>
      </c>
      <c r="F392" s="2" t="s">
        <v>28</v>
      </c>
      <c r="G392" s="1" t="s">
        <v>28</v>
      </c>
      <c r="H392" s="2">
        <v>-5</v>
      </c>
      <c r="I392" s="71">
        <v>-4</v>
      </c>
      <c r="K392" s="136"/>
      <c r="L392" s="119" t="s">
        <v>17</v>
      </c>
      <c r="M392" s="137"/>
      <c r="N392" s="136" t="s">
        <v>30</v>
      </c>
      <c r="O392" s="119"/>
      <c r="P392" s="138"/>
      <c r="Q392" s="136" t="s">
        <v>17</v>
      </c>
      <c r="R392" s="137">
        <v>2</v>
      </c>
      <c r="S392" s="38"/>
    </row>
    <row r="393" spans="2:19">
      <c r="C393" s="2" t="s">
        <v>462</v>
      </c>
      <c r="D393" s="86" t="s">
        <v>408</v>
      </c>
      <c r="E393" s="98" t="s">
        <v>443</v>
      </c>
      <c r="F393" s="2" t="s">
        <v>28</v>
      </c>
      <c r="G393" s="1" t="s">
        <v>28</v>
      </c>
      <c r="H393" s="2">
        <v>-5</v>
      </c>
      <c r="I393" s="71">
        <v>-4</v>
      </c>
      <c r="K393" s="136"/>
      <c r="L393" s="119" t="s">
        <v>17</v>
      </c>
      <c r="M393" s="137"/>
      <c r="N393" s="136" t="s">
        <v>30</v>
      </c>
      <c r="O393" s="119"/>
      <c r="P393" s="138"/>
      <c r="Q393" s="136" t="s">
        <v>17</v>
      </c>
      <c r="R393" s="137">
        <v>2</v>
      </c>
      <c r="S393" s="38"/>
    </row>
    <row r="394" spans="2:19">
      <c r="C394" s="2" t="s">
        <v>463</v>
      </c>
      <c r="D394" s="86" t="s">
        <v>408</v>
      </c>
      <c r="E394" s="98" t="s">
        <v>443</v>
      </c>
      <c r="F394" s="2" t="s">
        <v>28</v>
      </c>
      <c r="G394" s="1" t="s">
        <v>28</v>
      </c>
      <c r="H394" s="2">
        <v>-5</v>
      </c>
      <c r="I394" s="71">
        <v>-4</v>
      </c>
      <c r="K394" s="136"/>
      <c r="L394" s="119" t="s">
        <v>17</v>
      </c>
      <c r="M394" s="137"/>
      <c r="N394" s="136" t="s">
        <v>30</v>
      </c>
      <c r="O394" s="119"/>
      <c r="P394" s="138"/>
      <c r="Q394" s="136" t="s">
        <v>17</v>
      </c>
      <c r="R394" s="137">
        <v>2</v>
      </c>
      <c r="S394" s="38"/>
    </row>
    <row r="395" spans="2:19" ht="16.5" thickBot="1">
      <c r="C395" s="8" t="s">
        <v>464</v>
      </c>
      <c r="D395" s="88" t="s">
        <v>408</v>
      </c>
      <c r="E395" s="99" t="s">
        <v>443</v>
      </c>
      <c r="F395" s="8" t="s">
        <v>28</v>
      </c>
      <c r="G395" s="76" t="s">
        <v>28</v>
      </c>
      <c r="H395" s="8">
        <v>-4</v>
      </c>
      <c r="I395" s="73">
        <v>-4</v>
      </c>
      <c r="K395" s="143" t="s">
        <v>30</v>
      </c>
      <c r="L395" s="145"/>
      <c r="M395" s="144"/>
      <c r="N395" s="143" t="s">
        <v>29</v>
      </c>
      <c r="O395" s="145"/>
      <c r="P395" s="146"/>
      <c r="Q395" s="143" t="s">
        <v>17</v>
      </c>
      <c r="R395" s="144">
        <v>1</v>
      </c>
      <c r="S395" s="49"/>
    </row>
    <row r="396" spans="2:19" ht="16.5" thickBot="1"/>
    <row r="397" spans="2:19" ht="16.5" customHeight="1" thickBot="1">
      <c r="B397" s="65" t="s">
        <v>465</v>
      </c>
      <c r="C397" s="209"/>
      <c r="D397" s="66"/>
      <c r="E397" s="66"/>
      <c r="F397" s="270" t="s">
        <v>1</v>
      </c>
      <c r="G397" s="271"/>
      <c r="H397" s="278" t="s">
        <v>2</v>
      </c>
      <c r="I397" s="279"/>
      <c r="K397" s="262" t="s">
        <v>3</v>
      </c>
      <c r="L397" s="263"/>
      <c r="M397" s="264"/>
      <c r="N397" s="262" t="s">
        <v>4</v>
      </c>
      <c r="O397" s="263"/>
      <c r="P397" s="265"/>
      <c r="Q397" s="268" t="s">
        <v>5</v>
      </c>
      <c r="R397" s="272" t="s">
        <v>6</v>
      </c>
      <c r="S397" s="274" t="s">
        <v>7</v>
      </c>
    </row>
    <row r="398" spans="2:19" ht="16.5" thickBot="1">
      <c r="C398" s="190" t="s">
        <v>8</v>
      </c>
      <c r="D398" s="191" t="s">
        <v>9</v>
      </c>
      <c r="E398" s="183" t="s">
        <v>10</v>
      </c>
      <c r="F398" s="190" t="s">
        <v>11</v>
      </c>
      <c r="G398" s="185" t="s">
        <v>12</v>
      </c>
      <c r="H398" s="173" t="s">
        <v>3</v>
      </c>
      <c r="I398" s="174" t="s">
        <v>4</v>
      </c>
      <c r="K398" s="20">
        <v>-4</v>
      </c>
      <c r="L398" s="21">
        <v>-5</v>
      </c>
      <c r="M398" s="22">
        <v>-6</v>
      </c>
      <c r="N398" s="20">
        <v>-4</v>
      </c>
      <c r="O398" s="21">
        <v>-5</v>
      </c>
      <c r="P398" s="23">
        <v>-6</v>
      </c>
      <c r="Q398" s="269"/>
      <c r="R398" s="273"/>
      <c r="S398" s="275"/>
    </row>
    <row r="399" spans="2:19">
      <c r="C399" s="70" t="s">
        <v>466</v>
      </c>
      <c r="D399" s="217" t="s">
        <v>467</v>
      </c>
      <c r="E399" s="188" t="s">
        <v>15</v>
      </c>
      <c r="F399" s="234" t="s">
        <v>16</v>
      </c>
      <c r="G399" s="152" t="s">
        <v>16</v>
      </c>
      <c r="H399" s="204">
        <v>0</v>
      </c>
      <c r="I399" s="205">
        <v>0</v>
      </c>
      <c r="K399" s="132"/>
      <c r="L399" s="133"/>
      <c r="M399" s="134"/>
      <c r="N399" s="132"/>
      <c r="O399" s="133"/>
      <c r="P399" s="135"/>
      <c r="Q399" s="132"/>
      <c r="R399" s="134"/>
      <c r="S399" s="31" t="s">
        <v>404</v>
      </c>
    </row>
    <row r="400" spans="2:19">
      <c r="C400" s="2" t="s">
        <v>468</v>
      </c>
      <c r="D400" s="98" t="s">
        <v>467</v>
      </c>
      <c r="E400" s="72" t="s">
        <v>15</v>
      </c>
      <c r="F400" s="233" t="s">
        <v>16</v>
      </c>
      <c r="G400" s="128" t="s">
        <v>16</v>
      </c>
      <c r="H400" s="120">
        <v>0</v>
      </c>
      <c r="I400" s="194">
        <v>0</v>
      </c>
      <c r="K400" s="136" t="s">
        <v>29</v>
      </c>
      <c r="L400" s="119"/>
      <c r="M400" s="137"/>
      <c r="N400" s="136"/>
      <c r="O400" s="119"/>
      <c r="P400" s="138"/>
      <c r="Q400" s="136"/>
      <c r="R400" s="137"/>
      <c r="S400" s="38" t="s">
        <v>469</v>
      </c>
    </row>
    <row r="401" spans="3:19">
      <c r="C401" s="2" t="s">
        <v>470</v>
      </c>
      <c r="D401" s="98" t="s">
        <v>467</v>
      </c>
      <c r="E401" s="72" t="s">
        <v>15</v>
      </c>
      <c r="F401" s="233" t="s">
        <v>16</v>
      </c>
      <c r="G401" s="128" t="s">
        <v>16</v>
      </c>
      <c r="H401" s="120">
        <v>0</v>
      </c>
      <c r="I401" s="194">
        <v>0</v>
      </c>
      <c r="K401" s="136"/>
      <c r="L401" s="119" t="s">
        <v>17</v>
      </c>
      <c r="M401" s="137" t="s">
        <v>85</v>
      </c>
      <c r="N401" s="136"/>
      <c r="O401" s="119"/>
      <c r="P401" s="138"/>
      <c r="Q401" s="136"/>
      <c r="R401" s="137"/>
      <c r="S401" s="38" t="s">
        <v>22</v>
      </c>
    </row>
    <row r="402" spans="3:19">
      <c r="C402" s="2" t="s">
        <v>471</v>
      </c>
      <c r="D402" s="98" t="s">
        <v>472</v>
      </c>
      <c r="E402" s="72" t="s">
        <v>15</v>
      </c>
      <c r="F402" s="233" t="s">
        <v>16</v>
      </c>
      <c r="G402" s="128" t="s">
        <v>16</v>
      </c>
      <c r="H402" s="120">
        <v>0</v>
      </c>
      <c r="I402" s="194">
        <v>0</v>
      </c>
      <c r="K402" s="136"/>
      <c r="L402" s="119"/>
      <c r="M402" s="137"/>
      <c r="N402" s="136"/>
      <c r="O402" s="119"/>
      <c r="P402" s="138"/>
      <c r="Q402" s="136"/>
      <c r="R402" s="137"/>
      <c r="S402" s="38" t="s">
        <v>404</v>
      </c>
    </row>
    <row r="403" spans="3:19" ht="16.5" thickBot="1">
      <c r="C403" s="8" t="s">
        <v>473</v>
      </c>
      <c r="D403" s="99" t="s">
        <v>472</v>
      </c>
      <c r="E403" s="74" t="s">
        <v>15</v>
      </c>
      <c r="F403" s="235" t="s">
        <v>16</v>
      </c>
      <c r="G403" s="153" t="s">
        <v>16</v>
      </c>
      <c r="H403" s="203">
        <v>0</v>
      </c>
      <c r="I403" s="200">
        <v>0</v>
      </c>
      <c r="K403" s="139"/>
      <c r="L403" s="140"/>
      <c r="M403" s="141"/>
      <c r="N403" s="139"/>
      <c r="O403" s="140"/>
      <c r="P403" s="142"/>
      <c r="Q403" s="143"/>
      <c r="R403" s="144"/>
      <c r="S403" s="46" t="s">
        <v>404</v>
      </c>
    </row>
    <row r="404" spans="3:19">
      <c r="C404" s="4" t="s">
        <v>474</v>
      </c>
      <c r="D404" s="97" t="s">
        <v>467</v>
      </c>
      <c r="E404" s="69" t="s">
        <v>475</v>
      </c>
      <c r="F404" s="234" t="s">
        <v>16</v>
      </c>
      <c r="G404" s="152" t="s">
        <v>16</v>
      </c>
      <c r="H404" s="204">
        <v>0</v>
      </c>
      <c r="I404" s="205">
        <v>0</v>
      </c>
      <c r="K404" s="132"/>
      <c r="L404" s="133" t="s">
        <v>21</v>
      </c>
      <c r="M404" s="134"/>
      <c r="N404" s="132"/>
      <c r="O404" s="133"/>
      <c r="P404" s="135"/>
      <c r="Q404" s="132"/>
      <c r="R404" s="134"/>
      <c r="S404" s="31" t="s">
        <v>22</v>
      </c>
    </row>
    <row r="405" spans="3:19">
      <c r="C405" s="2" t="s">
        <v>476</v>
      </c>
      <c r="D405" s="98" t="s">
        <v>467</v>
      </c>
      <c r="E405" s="72" t="s">
        <v>475</v>
      </c>
      <c r="F405" s="2" t="s">
        <v>28</v>
      </c>
      <c r="G405" s="1" t="s">
        <v>28</v>
      </c>
      <c r="H405" s="7">
        <v>-6</v>
      </c>
      <c r="I405" s="71">
        <v>0</v>
      </c>
      <c r="K405" s="136"/>
      <c r="L405" s="119"/>
      <c r="M405" s="137" t="s">
        <v>17</v>
      </c>
      <c r="N405" s="136"/>
      <c r="O405" s="119"/>
      <c r="P405" s="138"/>
      <c r="Q405" s="136" t="s">
        <v>17</v>
      </c>
      <c r="R405" s="137">
        <v>1</v>
      </c>
      <c r="S405" s="38" t="s">
        <v>22</v>
      </c>
    </row>
    <row r="406" spans="3:19">
      <c r="C406" s="2" t="s">
        <v>477</v>
      </c>
      <c r="D406" s="98" t="s">
        <v>467</v>
      </c>
      <c r="E406" s="72" t="s">
        <v>475</v>
      </c>
      <c r="F406" s="2" t="s">
        <v>28</v>
      </c>
      <c r="G406" s="1" t="s">
        <v>28</v>
      </c>
      <c r="H406" s="7">
        <v>-6</v>
      </c>
      <c r="I406" s="71">
        <v>0</v>
      </c>
      <c r="K406" s="136"/>
      <c r="L406" s="119"/>
      <c r="M406" s="137" t="s">
        <v>17</v>
      </c>
      <c r="N406" s="136"/>
      <c r="O406" s="119"/>
      <c r="P406" s="138"/>
      <c r="Q406" s="136" t="s">
        <v>17</v>
      </c>
      <c r="R406" s="137">
        <v>1</v>
      </c>
      <c r="S406" s="38" t="s">
        <v>22</v>
      </c>
    </row>
    <row r="407" spans="3:19">
      <c r="C407" s="2" t="s">
        <v>478</v>
      </c>
      <c r="D407" s="98" t="s">
        <v>467</v>
      </c>
      <c r="E407" s="72" t="s">
        <v>475</v>
      </c>
      <c r="F407" s="2" t="s">
        <v>28</v>
      </c>
      <c r="G407" s="1" t="s">
        <v>28</v>
      </c>
      <c r="H407" s="7">
        <v>-6</v>
      </c>
      <c r="I407" s="71">
        <v>0</v>
      </c>
      <c r="K407" s="136"/>
      <c r="L407" s="119"/>
      <c r="M407" s="137" t="s">
        <v>17</v>
      </c>
      <c r="N407" s="136"/>
      <c r="O407" s="119"/>
      <c r="P407" s="138"/>
      <c r="Q407" s="136"/>
      <c r="R407" s="137">
        <v>1</v>
      </c>
      <c r="S407" s="38" t="s">
        <v>22</v>
      </c>
    </row>
    <row r="408" spans="3:19">
      <c r="C408" s="2" t="s">
        <v>479</v>
      </c>
      <c r="D408" s="98" t="s">
        <v>467</v>
      </c>
      <c r="E408" s="72" t="s">
        <v>475</v>
      </c>
      <c r="F408" s="2" t="s">
        <v>28</v>
      </c>
      <c r="G408" s="1" t="s">
        <v>28</v>
      </c>
      <c r="H408" s="7">
        <v>-6</v>
      </c>
      <c r="I408" s="71">
        <v>0</v>
      </c>
      <c r="K408" s="136"/>
      <c r="L408" s="119"/>
      <c r="M408" s="137" t="s">
        <v>30</v>
      </c>
      <c r="N408" s="136" t="s">
        <v>29</v>
      </c>
      <c r="O408" s="119"/>
      <c r="P408" s="138"/>
      <c r="Q408" s="136" t="s">
        <v>30</v>
      </c>
      <c r="R408" s="137">
        <v>2</v>
      </c>
      <c r="S408" s="38"/>
    </row>
    <row r="409" spans="3:19">
      <c r="C409" s="2" t="s">
        <v>480</v>
      </c>
      <c r="D409" s="98" t="s">
        <v>467</v>
      </c>
      <c r="E409" s="72" t="s">
        <v>475</v>
      </c>
      <c r="F409" s="2" t="s">
        <v>28</v>
      </c>
      <c r="G409" s="1" t="s">
        <v>28</v>
      </c>
      <c r="H409" s="7">
        <v>-6</v>
      </c>
      <c r="I409" s="71">
        <v>0</v>
      </c>
      <c r="K409" s="136"/>
      <c r="L409" s="119"/>
      <c r="M409" s="137" t="s">
        <v>30</v>
      </c>
      <c r="N409" s="136"/>
      <c r="O409" s="119"/>
      <c r="P409" s="138" t="s">
        <v>29</v>
      </c>
      <c r="Q409" s="136" t="s">
        <v>30</v>
      </c>
      <c r="R409" s="137">
        <v>2</v>
      </c>
      <c r="S409" s="38"/>
    </row>
    <row r="410" spans="3:19">
      <c r="C410" s="2" t="s">
        <v>481</v>
      </c>
      <c r="D410" s="98" t="s">
        <v>467</v>
      </c>
      <c r="E410" s="72" t="s">
        <v>475</v>
      </c>
      <c r="F410" s="233" t="s">
        <v>16</v>
      </c>
      <c r="G410" s="128" t="s">
        <v>16</v>
      </c>
      <c r="H410" s="120">
        <v>0</v>
      </c>
      <c r="I410" s="194">
        <v>0</v>
      </c>
      <c r="K410" s="136" t="s">
        <v>29</v>
      </c>
      <c r="L410" s="119"/>
      <c r="M410" s="137"/>
      <c r="N410" s="136"/>
      <c r="O410" s="119"/>
      <c r="P410" s="138"/>
      <c r="Q410" s="136"/>
      <c r="R410" s="137"/>
      <c r="S410" s="38" t="s">
        <v>482</v>
      </c>
    </row>
    <row r="411" spans="3:19">
      <c r="C411" s="2" t="s">
        <v>483</v>
      </c>
      <c r="D411" s="98" t="s">
        <v>467</v>
      </c>
      <c r="E411" s="72" t="s">
        <v>475</v>
      </c>
      <c r="F411" s="2" t="s">
        <v>28</v>
      </c>
      <c r="G411" s="1" t="s">
        <v>28</v>
      </c>
      <c r="H411" s="7">
        <v>-6</v>
      </c>
      <c r="I411" s="71">
        <v>0</v>
      </c>
      <c r="K411" s="136"/>
      <c r="L411" s="119"/>
      <c r="M411" s="137" t="s">
        <v>17</v>
      </c>
      <c r="N411" s="136"/>
      <c r="O411" s="119"/>
      <c r="P411" s="138"/>
      <c r="Q411" s="136" t="s">
        <v>17</v>
      </c>
      <c r="R411" s="137">
        <v>1</v>
      </c>
      <c r="S411" s="38" t="s">
        <v>22</v>
      </c>
    </row>
    <row r="412" spans="3:19">
      <c r="C412" s="2" t="s">
        <v>484</v>
      </c>
      <c r="D412" s="98" t="s">
        <v>467</v>
      </c>
      <c r="E412" s="72" t="s">
        <v>475</v>
      </c>
      <c r="F412" s="2" t="s">
        <v>28</v>
      </c>
      <c r="G412" s="1" t="s">
        <v>28</v>
      </c>
      <c r="H412" s="7">
        <v>-6</v>
      </c>
      <c r="I412" s="71">
        <v>0</v>
      </c>
      <c r="K412" s="136"/>
      <c r="L412" s="119"/>
      <c r="M412" s="137" t="s">
        <v>30</v>
      </c>
      <c r="N412" s="136" t="s">
        <v>29</v>
      </c>
      <c r="O412" s="119"/>
      <c r="P412" s="138"/>
      <c r="Q412" s="136" t="s">
        <v>30</v>
      </c>
      <c r="R412" s="137">
        <v>2</v>
      </c>
      <c r="S412" s="38"/>
    </row>
    <row r="413" spans="3:19" ht="16.5" thickBot="1">
      <c r="C413" s="8" t="s">
        <v>485</v>
      </c>
      <c r="D413" s="99" t="s">
        <v>467</v>
      </c>
      <c r="E413" s="77" t="s">
        <v>475</v>
      </c>
      <c r="F413" s="8" t="s">
        <v>28</v>
      </c>
      <c r="G413" s="76" t="s">
        <v>28</v>
      </c>
      <c r="H413" s="10">
        <v>-6</v>
      </c>
      <c r="I413" s="73">
        <v>0</v>
      </c>
      <c r="K413" s="143"/>
      <c r="L413" s="145"/>
      <c r="M413" s="144" t="s">
        <v>17</v>
      </c>
      <c r="N413" s="143"/>
      <c r="O413" s="145"/>
      <c r="P413" s="146"/>
      <c r="Q413" s="143" t="s">
        <v>17</v>
      </c>
      <c r="R413" s="144">
        <v>1</v>
      </c>
      <c r="S413" s="49" t="s">
        <v>22</v>
      </c>
    </row>
    <row r="414" spans="3:19">
      <c r="C414" s="4" t="s">
        <v>486</v>
      </c>
      <c r="D414" s="97" t="s">
        <v>472</v>
      </c>
      <c r="E414" s="69" t="s">
        <v>475</v>
      </c>
      <c r="F414" s="4" t="s">
        <v>28</v>
      </c>
      <c r="G414" s="67" t="s">
        <v>28</v>
      </c>
      <c r="H414" s="6">
        <v>-6</v>
      </c>
      <c r="I414" s="68">
        <v>0</v>
      </c>
      <c r="K414" s="147"/>
      <c r="L414" s="148"/>
      <c r="M414" s="149" t="s">
        <v>17</v>
      </c>
      <c r="N414" s="147"/>
      <c r="O414" s="148"/>
      <c r="P414" s="150"/>
      <c r="Q414" s="132" t="s">
        <v>17</v>
      </c>
      <c r="R414" s="134">
        <v>1</v>
      </c>
      <c r="S414" s="50" t="s">
        <v>22</v>
      </c>
    </row>
    <row r="415" spans="3:19">
      <c r="C415" s="70" t="s">
        <v>487</v>
      </c>
      <c r="D415" s="98" t="s">
        <v>472</v>
      </c>
      <c r="E415" s="72" t="s">
        <v>475</v>
      </c>
      <c r="F415" s="2" t="s">
        <v>28</v>
      </c>
      <c r="G415" s="1" t="s">
        <v>28</v>
      </c>
      <c r="H415" s="7">
        <v>-6</v>
      </c>
      <c r="I415" s="71">
        <v>0</v>
      </c>
      <c r="K415" s="136"/>
      <c r="L415" s="119"/>
      <c r="M415" s="137" t="s">
        <v>17</v>
      </c>
      <c r="N415" s="136"/>
      <c r="O415" s="119"/>
      <c r="P415" s="138"/>
      <c r="Q415" s="136" t="s">
        <v>17</v>
      </c>
      <c r="R415" s="137">
        <v>1</v>
      </c>
      <c r="S415" s="38" t="s">
        <v>22</v>
      </c>
    </row>
    <row r="416" spans="3:19">
      <c r="C416" s="70" t="s">
        <v>488</v>
      </c>
      <c r="D416" s="98" t="s">
        <v>472</v>
      </c>
      <c r="E416" s="72" t="s">
        <v>475</v>
      </c>
      <c r="F416" s="233" t="s">
        <v>16</v>
      </c>
      <c r="G416" s="128" t="s">
        <v>16</v>
      </c>
      <c r="H416" s="120">
        <v>0</v>
      </c>
      <c r="I416" s="194">
        <v>0</v>
      </c>
      <c r="K416" s="136" t="s">
        <v>21</v>
      </c>
      <c r="L416" s="119"/>
      <c r="M416" s="137"/>
      <c r="N416" s="136"/>
      <c r="O416" s="119"/>
      <c r="P416" s="138"/>
      <c r="Q416" s="136"/>
      <c r="R416" s="137"/>
      <c r="S416" s="38" t="s">
        <v>22</v>
      </c>
    </row>
    <row r="417" spans="2:19">
      <c r="C417" s="70" t="s">
        <v>489</v>
      </c>
      <c r="D417" s="98" t="s">
        <v>472</v>
      </c>
      <c r="E417" s="72" t="s">
        <v>475</v>
      </c>
      <c r="F417" s="233" t="s">
        <v>16</v>
      </c>
      <c r="G417" s="128" t="s">
        <v>16</v>
      </c>
      <c r="H417" s="120">
        <v>0</v>
      </c>
      <c r="I417" s="194">
        <v>0</v>
      </c>
      <c r="K417" s="136" t="s">
        <v>29</v>
      </c>
      <c r="L417" s="119"/>
      <c r="M417" s="137"/>
      <c r="N417" s="136"/>
      <c r="O417" s="119"/>
      <c r="P417" s="138"/>
      <c r="Q417" s="136"/>
      <c r="R417" s="137"/>
      <c r="S417" s="38" t="s">
        <v>490</v>
      </c>
    </row>
    <row r="418" spans="2:19">
      <c r="C418" s="70" t="s">
        <v>491</v>
      </c>
      <c r="D418" s="98" t="s">
        <v>472</v>
      </c>
      <c r="E418" s="72" t="s">
        <v>475</v>
      </c>
      <c r="F418" s="233" t="s">
        <v>16</v>
      </c>
      <c r="G418" s="128" t="s">
        <v>16</v>
      </c>
      <c r="H418" s="120">
        <v>0</v>
      </c>
      <c r="I418" s="194">
        <v>0</v>
      </c>
      <c r="K418" s="136"/>
      <c r="L418" s="119"/>
      <c r="M418" s="137"/>
      <c r="N418" s="136"/>
      <c r="O418" s="119"/>
      <c r="P418" s="138"/>
      <c r="Q418" s="136"/>
      <c r="R418" s="137"/>
      <c r="S418" s="38" t="s">
        <v>404</v>
      </c>
    </row>
    <row r="419" spans="2:19">
      <c r="C419" s="70" t="s">
        <v>492</v>
      </c>
      <c r="D419" s="98" t="s">
        <v>472</v>
      </c>
      <c r="E419" s="72" t="s">
        <v>475</v>
      </c>
      <c r="F419" s="233" t="s">
        <v>16</v>
      </c>
      <c r="G419" s="128" t="s">
        <v>16</v>
      </c>
      <c r="H419" s="120">
        <v>0</v>
      </c>
      <c r="I419" s="194">
        <v>0</v>
      </c>
      <c r="K419" s="136"/>
      <c r="L419" s="119" t="s">
        <v>17</v>
      </c>
      <c r="M419" s="137" t="s">
        <v>85</v>
      </c>
      <c r="N419" s="136"/>
      <c r="O419" s="119"/>
      <c r="P419" s="138"/>
      <c r="Q419" s="136"/>
      <c r="R419" s="137"/>
      <c r="S419" s="38" t="s">
        <v>22</v>
      </c>
    </row>
    <row r="420" spans="2:19">
      <c r="C420" s="70" t="s">
        <v>493</v>
      </c>
      <c r="D420" s="98" t="s">
        <v>472</v>
      </c>
      <c r="E420" s="72" t="s">
        <v>475</v>
      </c>
      <c r="F420" s="233" t="s">
        <v>16</v>
      </c>
      <c r="G420" s="128" t="s">
        <v>16</v>
      </c>
      <c r="H420" s="120">
        <v>0</v>
      </c>
      <c r="I420" s="194">
        <v>0</v>
      </c>
      <c r="K420" s="136" t="s">
        <v>29</v>
      </c>
      <c r="L420" s="119" t="s">
        <v>29</v>
      </c>
      <c r="M420" s="137"/>
      <c r="N420" s="136"/>
      <c r="O420" s="119"/>
      <c r="P420" s="138"/>
      <c r="Q420" s="136"/>
      <c r="R420" s="137"/>
      <c r="S420" s="38" t="s">
        <v>494</v>
      </c>
    </row>
    <row r="421" spans="2:19">
      <c r="C421" s="70" t="s">
        <v>495</v>
      </c>
      <c r="D421" s="98" t="s">
        <v>472</v>
      </c>
      <c r="E421" s="72" t="s">
        <v>475</v>
      </c>
      <c r="F421" s="233" t="s">
        <v>16</v>
      </c>
      <c r="G421" s="128" t="s">
        <v>16</v>
      </c>
      <c r="H421" s="120">
        <v>0</v>
      </c>
      <c r="I421" s="194">
        <v>0</v>
      </c>
      <c r="K421" s="136" t="s">
        <v>17</v>
      </c>
      <c r="L421" s="119" t="s">
        <v>29</v>
      </c>
      <c r="M421" s="137"/>
      <c r="N421" s="136"/>
      <c r="O421" s="119"/>
      <c r="P421" s="138"/>
      <c r="Q421" s="136"/>
      <c r="R421" s="137"/>
      <c r="S421" s="38" t="s">
        <v>496</v>
      </c>
    </row>
    <row r="422" spans="2:19">
      <c r="C422" s="70" t="s">
        <v>497</v>
      </c>
      <c r="D422" s="98" t="s">
        <v>472</v>
      </c>
      <c r="E422" s="72" t="s">
        <v>475</v>
      </c>
      <c r="F422" s="233" t="s">
        <v>16</v>
      </c>
      <c r="G422" s="128" t="s">
        <v>16</v>
      </c>
      <c r="H422" s="120">
        <v>0</v>
      </c>
      <c r="I422" s="194">
        <v>0</v>
      </c>
      <c r="K422" s="136" t="s">
        <v>17</v>
      </c>
      <c r="L422" s="119" t="s">
        <v>30</v>
      </c>
      <c r="M422" s="137" t="s">
        <v>30</v>
      </c>
      <c r="N422" s="136"/>
      <c r="O422" s="119"/>
      <c r="P422" s="138"/>
      <c r="Q422" s="136"/>
      <c r="R422" s="137"/>
      <c r="S422" s="38" t="s">
        <v>498</v>
      </c>
    </row>
    <row r="423" spans="2:19" ht="16.5" thickBot="1">
      <c r="C423" s="100" t="s">
        <v>499</v>
      </c>
      <c r="D423" s="99" t="s">
        <v>472</v>
      </c>
      <c r="E423" s="74" t="s">
        <v>475</v>
      </c>
      <c r="F423" s="235" t="s">
        <v>16</v>
      </c>
      <c r="G423" s="153" t="s">
        <v>16</v>
      </c>
      <c r="H423" s="203">
        <v>0</v>
      </c>
      <c r="I423" s="200">
        <v>0</v>
      </c>
      <c r="K423" s="143" t="s">
        <v>78</v>
      </c>
      <c r="L423" s="145" t="s">
        <v>61</v>
      </c>
      <c r="M423" s="144" t="s">
        <v>61</v>
      </c>
      <c r="N423" s="143"/>
      <c r="O423" s="145"/>
      <c r="P423" s="146"/>
      <c r="Q423" s="143"/>
      <c r="R423" s="144"/>
      <c r="S423" s="49" t="s">
        <v>500</v>
      </c>
    </row>
    <row r="424" spans="2:19" ht="16.5" thickBot="1">
      <c r="C424" s="11"/>
      <c r="D424" s="92"/>
      <c r="E424" s="92"/>
      <c r="F424" s="11"/>
      <c r="G424" s="11"/>
      <c r="H424" s="11"/>
      <c r="I424" s="11"/>
    </row>
    <row r="425" spans="2:19" ht="16.5" customHeight="1" thickBot="1">
      <c r="B425" s="101" t="s">
        <v>501</v>
      </c>
      <c r="C425" s="209"/>
      <c r="D425" s="102"/>
      <c r="E425" s="102"/>
      <c r="F425" s="280" t="s">
        <v>1</v>
      </c>
      <c r="G425" s="281"/>
      <c r="H425" s="286" t="s">
        <v>2</v>
      </c>
      <c r="I425" s="279"/>
      <c r="K425" s="262" t="s">
        <v>3</v>
      </c>
      <c r="L425" s="263"/>
      <c r="M425" s="264"/>
      <c r="N425" s="262" t="s">
        <v>4</v>
      </c>
      <c r="O425" s="263"/>
      <c r="P425" s="265"/>
      <c r="Q425" s="268" t="s">
        <v>5</v>
      </c>
      <c r="R425" s="272" t="s">
        <v>6</v>
      </c>
      <c r="S425" s="274" t="s">
        <v>7</v>
      </c>
    </row>
    <row r="426" spans="2:19" ht="16.5" thickBot="1">
      <c r="C426" s="219" t="s">
        <v>8</v>
      </c>
      <c r="D426" s="220" t="s">
        <v>9</v>
      </c>
      <c r="E426" s="221" t="s">
        <v>10</v>
      </c>
      <c r="F426" s="219" t="s">
        <v>502</v>
      </c>
      <c r="G426" s="218" t="s">
        <v>12</v>
      </c>
      <c r="H426" s="179" t="s">
        <v>3</v>
      </c>
      <c r="I426" s="164" t="s">
        <v>4</v>
      </c>
      <c r="K426" s="20">
        <v>-4</v>
      </c>
      <c r="L426" s="21">
        <v>-5</v>
      </c>
      <c r="M426" s="22">
        <v>-6</v>
      </c>
      <c r="N426" s="20">
        <v>-4</v>
      </c>
      <c r="O426" s="21">
        <v>-5</v>
      </c>
      <c r="P426" s="23">
        <v>-6</v>
      </c>
      <c r="Q426" s="269"/>
      <c r="R426" s="273"/>
      <c r="S426" s="275"/>
    </row>
    <row r="427" spans="2:19">
      <c r="C427" s="103" t="s">
        <v>503</v>
      </c>
      <c r="D427" s="104" t="s">
        <v>467</v>
      </c>
      <c r="E427" s="105" t="s">
        <v>15</v>
      </c>
      <c r="F427" s="236" t="s">
        <v>16</v>
      </c>
      <c r="G427" s="175" t="s">
        <v>16</v>
      </c>
      <c r="H427" s="189">
        <v>0</v>
      </c>
      <c r="I427" s="189">
        <v>0</v>
      </c>
      <c r="K427" s="132"/>
      <c r="L427" s="133" t="s">
        <v>21</v>
      </c>
      <c r="M427" s="134"/>
      <c r="N427" s="132"/>
      <c r="O427" s="133"/>
      <c r="P427" s="135"/>
      <c r="Q427" s="132"/>
      <c r="R427" s="134"/>
      <c r="S427" s="31" t="s">
        <v>22</v>
      </c>
    </row>
    <row r="428" spans="2:19">
      <c r="C428" s="106" t="s">
        <v>504</v>
      </c>
      <c r="D428" s="107" t="s">
        <v>467</v>
      </c>
      <c r="E428" s="108" t="s">
        <v>15</v>
      </c>
      <c r="F428" s="233" t="s">
        <v>16</v>
      </c>
      <c r="G428" s="128" t="s">
        <v>16</v>
      </c>
      <c r="H428" s="120">
        <v>0</v>
      </c>
      <c r="I428" s="120">
        <v>0</v>
      </c>
      <c r="K428" s="136" t="s">
        <v>21</v>
      </c>
      <c r="L428" s="119"/>
      <c r="M428" s="137"/>
      <c r="N428" s="136"/>
      <c r="O428" s="119"/>
      <c r="P428" s="138"/>
      <c r="Q428" s="136"/>
      <c r="R428" s="137"/>
      <c r="S428" s="38" t="s">
        <v>22</v>
      </c>
    </row>
    <row r="429" spans="2:19">
      <c r="C429" s="106" t="s">
        <v>505</v>
      </c>
      <c r="D429" s="107" t="s">
        <v>467</v>
      </c>
      <c r="E429" s="108" t="s">
        <v>15</v>
      </c>
      <c r="F429" s="233" t="s">
        <v>16</v>
      </c>
      <c r="G429" s="128" t="s">
        <v>16</v>
      </c>
      <c r="H429" s="120">
        <v>0</v>
      </c>
      <c r="I429" s="120">
        <v>0</v>
      </c>
      <c r="K429" s="136"/>
      <c r="L429" s="119" t="s">
        <v>21</v>
      </c>
      <c r="M429" s="137"/>
      <c r="N429" s="136"/>
      <c r="O429" s="119"/>
      <c r="P429" s="138"/>
      <c r="Q429" s="136"/>
      <c r="R429" s="137"/>
      <c r="S429" s="38" t="s">
        <v>22</v>
      </c>
    </row>
    <row r="430" spans="2:19">
      <c r="C430" s="106" t="s">
        <v>506</v>
      </c>
      <c r="D430" s="107" t="s">
        <v>472</v>
      </c>
      <c r="E430" s="108" t="s">
        <v>15</v>
      </c>
      <c r="F430" s="233" t="s">
        <v>16</v>
      </c>
      <c r="G430" s="128" t="s">
        <v>16</v>
      </c>
      <c r="H430" s="120">
        <v>0</v>
      </c>
      <c r="I430" s="120">
        <v>0</v>
      </c>
      <c r="K430" s="136"/>
      <c r="L430" s="119" t="s">
        <v>21</v>
      </c>
      <c r="M430" s="137"/>
      <c r="N430" s="136"/>
      <c r="O430" s="119"/>
      <c r="P430" s="138"/>
      <c r="Q430" s="136"/>
      <c r="R430" s="137"/>
      <c r="S430" s="38" t="s">
        <v>22</v>
      </c>
    </row>
    <row r="431" spans="2:19" ht="16.5" thickBot="1">
      <c r="C431" s="109" t="s">
        <v>507</v>
      </c>
      <c r="D431" s="110" t="s">
        <v>472</v>
      </c>
      <c r="E431" s="111" t="s">
        <v>15</v>
      </c>
      <c r="F431" s="237" t="s">
        <v>16</v>
      </c>
      <c r="G431" s="167" t="s">
        <v>16</v>
      </c>
      <c r="H431" s="192">
        <v>0</v>
      </c>
      <c r="I431" s="192">
        <v>0</v>
      </c>
      <c r="K431" s="139"/>
      <c r="L431" s="140" t="s">
        <v>306</v>
      </c>
      <c r="M431" s="141" t="s">
        <v>307</v>
      </c>
      <c r="N431" s="139"/>
      <c r="O431" s="140"/>
      <c r="P431" s="142"/>
      <c r="Q431" s="143"/>
      <c r="R431" s="144"/>
      <c r="S431" s="46" t="s">
        <v>22</v>
      </c>
    </row>
    <row r="432" spans="2:19">
      <c r="C432" s="103" t="s">
        <v>508</v>
      </c>
      <c r="D432" s="104" t="s">
        <v>467</v>
      </c>
      <c r="E432" s="105" t="s">
        <v>509</v>
      </c>
      <c r="F432" s="4" t="s">
        <v>28</v>
      </c>
      <c r="G432" s="68" t="s">
        <v>28</v>
      </c>
      <c r="H432" s="5">
        <v>-6</v>
      </c>
      <c r="I432" s="68">
        <v>0</v>
      </c>
      <c r="K432" s="132"/>
      <c r="L432" s="133"/>
      <c r="M432" s="134" t="s">
        <v>29</v>
      </c>
      <c r="N432" s="132"/>
      <c r="O432" s="133" t="s">
        <v>30</v>
      </c>
      <c r="P432" s="135"/>
      <c r="Q432" s="132" t="s">
        <v>29</v>
      </c>
      <c r="R432" s="134">
        <v>1</v>
      </c>
      <c r="S432" s="31"/>
    </row>
    <row r="433" spans="3:19">
      <c r="C433" s="106" t="s">
        <v>510</v>
      </c>
      <c r="D433" s="107" t="s">
        <v>467</v>
      </c>
      <c r="E433" s="108" t="s">
        <v>509</v>
      </c>
      <c r="F433" s="2" t="s">
        <v>28</v>
      </c>
      <c r="G433" s="71" t="s">
        <v>28</v>
      </c>
      <c r="H433" s="3">
        <v>-5</v>
      </c>
      <c r="I433" s="71">
        <v>0</v>
      </c>
      <c r="K433" s="136"/>
      <c r="L433" s="119" t="s">
        <v>29</v>
      </c>
      <c r="M433" s="137"/>
      <c r="N433" s="136"/>
      <c r="O433" s="119"/>
      <c r="P433" s="138" t="s">
        <v>30</v>
      </c>
      <c r="Q433" s="136" t="s">
        <v>29</v>
      </c>
      <c r="R433" s="137">
        <v>1</v>
      </c>
      <c r="S433" s="38"/>
    </row>
    <row r="434" spans="3:19">
      <c r="C434" s="106" t="s">
        <v>511</v>
      </c>
      <c r="D434" s="107" t="s">
        <v>467</v>
      </c>
      <c r="E434" s="108" t="s">
        <v>509</v>
      </c>
      <c r="F434" s="2" t="s">
        <v>28</v>
      </c>
      <c r="G434" s="71" t="s">
        <v>28</v>
      </c>
      <c r="H434" s="3">
        <v>-6</v>
      </c>
      <c r="I434" s="71">
        <v>0</v>
      </c>
      <c r="K434" s="136"/>
      <c r="L434" s="119"/>
      <c r="M434" s="137" t="s">
        <v>17</v>
      </c>
      <c r="N434" s="136"/>
      <c r="O434" s="119"/>
      <c r="P434" s="138"/>
      <c r="Q434" s="136" t="s">
        <v>17</v>
      </c>
      <c r="R434" s="137">
        <v>1</v>
      </c>
      <c r="S434" s="38" t="s">
        <v>22</v>
      </c>
    </row>
    <row r="435" spans="3:19">
      <c r="C435" s="106" t="s">
        <v>512</v>
      </c>
      <c r="D435" s="107" t="s">
        <v>467</v>
      </c>
      <c r="E435" s="108" t="s">
        <v>509</v>
      </c>
      <c r="F435" s="2" t="s">
        <v>28</v>
      </c>
      <c r="G435" s="71" t="s">
        <v>28</v>
      </c>
      <c r="H435" s="3">
        <v>-6</v>
      </c>
      <c r="I435" s="71">
        <v>0</v>
      </c>
      <c r="K435" s="136"/>
      <c r="L435" s="119"/>
      <c r="M435" s="137" t="s">
        <v>17</v>
      </c>
      <c r="N435" s="136"/>
      <c r="O435" s="119"/>
      <c r="P435" s="138"/>
      <c r="Q435" s="136" t="s">
        <v>17</v>
      </c>
      <c r="R435" s="137">
        <v>1</v>
      </c>
      <c r="S435" s="38" t="s">
        <v>22</v>
      </c>
    </row>
    <row r="436" spans="3:19">
      <c r="C436" s="106" t="s">
        <v>513</v>
      </c>
      <c r="D436" s="107" t="s">
        <v>467</v>
      </c>
      <c r="E436" s="108" t="s">
        <v>509</v>
      </c>
      <c r="F436" s="2" t="s">
        <v>28</v>
      </c>
      <c r="G436" s="71" t="s">
        <v>28</v>
      </c>
      <c r="H436" s="3">
        <v>-6</v>
      </c>
      <c r="I436" s="71">
        <v>0</v>
      </c>
      <c r="K436" s="136"/>
      <c r="L436" s="119"/>
      <c r="M436" s="137" t="s">
        <v>29</v>
      </c>
      <c r="N436" s="136"/>
      <c r="O436" s="119"/>
      <c r="P436" s="138" t="s">
        <v>30</v>
      </c>
      <c r="Q436" s="136" t="s">
        <v>29</v>
      </c>
      <c r="R436" s="137">
        <v>1</v>
      </c>
      <c r="S436" s="38"/>
    </row>
    <row r="437" spans="3:19">
      <c r="C437" s="106" t="s">
        <v>514</v>
      </c>
      <c r="D437" s="107" t="s">
        <v>467</v>
      </c>
      <c r="E437" s="108" t="s">
        <v>509</v>
      </c>
      <c r="F437" s="2" t="s">
        <v>28</v>
      </c>
      <c r="G437" s="71" t="s">
        <v>28</v>
      </c>
      <c r="H437" s="3">
        <v>-5</v>
      </c>
      <c r="I437" s="71">
        <v>0</v>
      </c>
      <c r="K437" s="136"/>
      <c r="L437" s="119" t="s">
        <v>17</v>
      </c>
      <c r="M437" s="137"/>
      <c r="N437" s="136"/>
      <c r="O437" s="119"/>
      <c r="P437" s="138"/>
      <c r="Q437" s="136" t="s">
        <v>17</v>
      </c>
      <c r="R437" s="137">
        <v>1</v>
      </c>
      <c r="S437" s="38" t="s">
        <v>22</v>
      </c>
    </row>
    <row r="438" spans="3:19">
      <c r="C438" s="106" t="s">
        <v>515</v>
      </c>
      <c r="D438" s="107" t="s">
        <v>467</v>
      </c>
      <c r="E438" s="108" t="s">
        <v>509</v>
      </c>
      <c r="F438" s="2" t="s">
        <v>28</v>
      </c>
      <c r="G438" s="71" t="s">
        <v>28</v>
      </c>
      <c r="H438" s="3">
        <v>-5</v>
      </c>
      <c r="I438" s="71">
        <v>0</v>
      </c>
      <c r="K438" s="136"/>
      <c r="L438" s="119" t="s">
        <v>17</v>
      </c>
      <c r="M438" s="137"/>
      <c r="N438" s="136"/>
      <c r="O438" s="119"/>
      <c r="P438" s="138"/>
      <c r="Q438" s="136" t="s">
        <v>17</v>
      </c>
      <c r="R438" s="137">
        <v>1</v>
      </c>
      <c r="S438" s="38"/>
    </row>
    <row r="439" spans="3:19">
      <c r="C439" s="106" t="s">
        <v>516</v>
      </c>
      <c r="D439" s="107" t="s">
        <v>467</v>
      </c>
      <c r="E439" s="108" t="s">
        <v>509</v>
      </c>
      <c r="F439" s="2" t="s">
        <v>28</v>
      </c>
      <c r="G439" s="71" t="s">
        <v>28</v>
      </c>
      <c r="H439" s="3">
        <v>-5</v>
      </c>
      <c r="I439" s="71">
        <v>-5</v>
      </c>
      <c r="K439" s="136"/>
      <c r="L439" s="119" t="s">
        <v>29</v>
      </c>
      <c r="M439" s="137"/>
      <c r="N439" s="136"/>
      <c r="O439" s="119" t="s">
        <v>30</v>
      </c>
      <c r="P439" s="138"/>
      <c r="Q439" s="136" t="s">
        <v>17</v>
      </c>
      <c r="R439" s="137">
        <v>1</v>
      </c>
      <c r="S439" s="38"/>
    </row>
    <row r="440" spans="3:19">
      <c r="C440" s="106" t="s">
        <v>517</v>
      </c>
      <c r="D440" s="107" t="s">
        <v>467</v>
      </c>
      <c r="E440" s="108" t="s">
        <v>509</v>
      </c>
      <c r="F440" s="2" t="s">
        <v>28</v>
      </c>
      <c r="G440" s="71" t="s">
        <v>28</v>
      </c>
      <c r="H440" s="3">
        <v>-5</v>
      </c>
      <c r="I440" s="71">
        <v>0</v>
      </c>
      <c r="K440" s="136"/>
      <c r="L440" s="119" t="s">
        <v>29</v>
      </c>
      <c r="M440" s="137"/>
      <c r="N440" s="136"/>
      <c r="O440" s="119" t="s">
        <v>30</v>
      </c>
      <c r="P440" s="138"/>
      <c r="Q440" s="136" t="s">
        <v>29</v>
      </c>
      <c r="R440" s="137">
        <v>1</v>
      </c>
      <c r="S440" s="38"/>
    </row>
    <row r="441" spans="3:19" ht="16.5" thickBot="1">
      <c r="C441" s="109" t="s">
        <v>518</v>
      </c>
      <c r="D441" s="110" t="s">
        <v>467</v>
      </c>
      <c r="E441" s="112" t="s">
        <v>509</v>
      </c>
      <c r="F441" s="8" t="s">
        <v>28</v>
      </c>
      <c r="G441" s="73" t="s">
        <v>28</v>
      </c>
      <c r="H441" s="9">
        <v>-5</v>
      </c>
      <c r="I441" s="73">
        <v>-5</v>
      </c>
      <c r="K441" s="143"/>
      <c r="L441" s="145" t="s">
        <v>29</v>
      </c>
      <c r="M441" s="144"/>
      <c r="N441" s="143"/>
      <c r="O441" s="145" t="s">
        <v>30</v>
      </c>
      <c r="P441" s="146"/>
      <c r="Q441" s="143" t="s">
        <v>17</v>
      </c>
      <c r="R441" s="144">
        <v>1</v>
      </c>
      <c r="S441" s="49"/>
    </row>
    <row r="442" spans="3:19">
      <c r="C442" s="103" t="s">
        <v>519</v>
      </c>
      <c r="D442" s="104" t="s">
        <v>472</v>
      </c>
      <c r="E442" s="105" t="s">
        <v>509</v>
      </c>
      <c r="F442" s="234" t="s">
        <v>16</v>
      </c>
      <c r="G442" s="152" t="s">
        <v>16</v>
      </c>
      <c r="H442" s="124">
        <v>0</v>
      </c>
      <c r="I442" s="205">
        <v>0</v>
      </c>
      <c r="K442" s="147"/>
      <c r="L442" s="148" t="s">
        <v>21</v>
      </c>
      <c r="M442" s="149"/>
      <c r="N442" s="147"/>
      <c r="O442" s="148"/>
      <c r="P442" s="150"/>
      <c r="Q442" s="132"/>
      <c r="R442" s="134"/>
      <c r="S442" s="50" t="s">
        <v>22</v>
      </c>
    </row>
    <row r="443" spans="3:19">
      <c r="C443" s="113" t="s">
        <v>520</v>
      </c>
      <c r="D443" s="107" t="s">
        <v>472</v>
      </c>
      <c r="E443" s="108" t="s">
        <v>509</v>
      </c>
      <c r="F443" s="2" t="s">
        <v>28</v>
      </c>
      <c r="G443" s="1" t="s">
        <v>28</v>
      </c>
      <c r="H443" s="2">
        <v>-5</v>
      </c>
      <c r="I443" s="71">
        <v>-5</v>
      </c>
      <c r="K443" s="136"/>
      <c r="L443" s="119" t="s">
        <v>29</v>
      </c>
      <c r="M443" s="137"/>
      <c r="N443" s="136"/>
      <c r="O443" s="119" t="s">
        <v>30</v>
      </c>
      <c r="P443" s="138"/>
      <c r="Q443" s="136" t="s">
        <v>17</v>
      </c>
      <c r="R443" s="137">
        <v>1</v>
      </c>
      <c r="S443" s="38"/>
    </row>
    <row r="444" spans="3:19">
      <c r="C444" s="113" t="s">
        <v>521</v>
      </c>
      <c r="D444" s="107" t="s">
        <v>472</v>
      </c>
      <c r="E444" s="108" t="s">
        <v>509</v>
      </c>
      <c r="F444" s="2" t="s">
        <v>28</v>
      </c>
      <c r="G444" s="1" t="s">
        <v>28</v>
      </c>
      <c r="H444" s="2">
        <v>-5</v>
      </c>
      <c r="I444" s="71">
        <v>-5</v>
      </c>
      <c r="K444" s="136"/>
      <c r="L444" s="119" t="s">
        <v>17</v>
      </c>
      <c r="M444" s="137"/>
      <c r="N444" s="136"/>
      <c r="O444" s="119" t="s">
        <v>30</v>
      </c>
      <c r="P444" s="138"/>
      <c r="Q444" s="136" t="s">
        <v>17</v>
      </c>
      <c r="R444" s="137">
        <v>1</v>
      </c>
      <c r="S444" s="38"/>
    </row>
    <row r="445" spans="3:19">
      <c r="C445" s="113" t="s">
        <v>522</v>
      </c>
      <c r="D445" s="107" t="s">
        <v>472</v>
      </c>
      <c r="E445" s="108" t="s">
        <v>509</v>
      </c>
      <c r="F445" s="2" t="s">
        <v>28</v>
      </c>
      <c r="G445" s="129" t="s">
        <v>350</v>
      </c>
      <c r="H445" s="214">
        <v>0</v>
      </c>
      <c r="I445" s="210">
        <v>0</v>
      </c>
      <c r="K445" s="136"/>
      <c r="L445" s="119" t="s">
        <v>21</v>
      </c>
      <c r="M445" s="137"/>
      <c r="N445" s="136"/>
      <c r="O445" s="119"/>
      <c r="P445" s="138"/>
      <c r="Q445" s="136"/>
      <c r="R445" s="137"/>
      <c r="S445" s="38" t="s">
        <v>22</v>
      </c>
    </row>
    <row r="446" spans="3:19">
      <c r="C446" s="113" t="s">
        <v>523</v>
      </c>
      <c r="D446" s="107" t="s">
        <v>472</v>
      </c>
      <c r="E446" s="108" t="s">
        <v>509</v>
      </c>
      <c r="F446" s="2" t="s">
        <v>28</v>
      </c>
      <c r="G446" s="1" t="s">
        <v>28</v>
      </c>
      <c r="H446" s="2">
        <v>-5</v>
      </c>
      <c r="I446" s="71">
        <v>-5</v>
      </c>
      <c r="K446" s="136"/>
      <c r="L446" s="119" t="s">
        <v>29</v>
      </c>
      <c r="M446" s="137"/>
      <c r="N446" s="136"/>
      <c r="O446" s="119" t="s">
        <v>30</v>
      </c>
      <c r="P446" s="138"/>
      <c r="Q446" s="136" t="s">
        <v>17</v>
      </c>
      <c r="R446" s="137">
        <v>1</v>
      </c>
      <c r="S446" s="38"/>
    </row>
    <row r="447" spans="3:19">
      <c r="C447" s="113" t="s">
        <v>524</v>
      </c>
      <c r="D447" s="107" t="s">
        <v>472</v>
      </c>
      <c r="E447" s="108" t="s">
        <v>509</v>
      </c>
      <c r="F447" s="2" t="s">
        <v>28</v>
      </c>
      <c r="G447" s="1" t="s">
        <v>28</v>
      </c>
      <c r="H447" s="2">
        <v>-5</v>
      </c>
      <c r="I447" s="71">
        <v>-5</v>
      </c>
      <c r="K447" s="136"/>
      <c r="L447" s="119" t="s">
        <v>29</v>
      </c>
      <c r="M447" s="137"/>
      <c r="N447" s="136"/>
      <c r="O447" s="119" t="s">
        <v>30</v>
      </c>
      <c r="P447" s="138"/>
      <c r="Q447" s="136" t="s">
        <v>17</v>
      </c>
      <c r="R447" s="137">
        <v>1</v>
      </c>
      <c r="S447" s="38"/>
    </row>
    <row r="448" spans="3:19">
      <c r="C448" s="113" t="s">
        <v>525</v>
      </c>
      <c r="D448" s="107" t="s">
        <v>472</v>
      </c>
      <c r="E448" s="108" t="s">
        <v>509</v>
      </c>
      <c r="F448" s="2" t="s">
        <v>28</v>
      </c>
      <c r="G448" s="1" t="s">
        <v>28</v>
      </c>
      <c r="H448" s="2">
        <v>-5</v>
      </c>
      <c r="I448" s="71">
        <v>-5</v>
      </c>
      <c r="K448" s="136"/>
      <c r="L448" s="119" t="s">
        <v>29</v>
      </c>
      <c r="M448" s="137"/>
      <c r="N448" s="136"/>
      <c r="O448" s="119" t="s">
        <v>30</v>
      </c>
      <c r="P448" s="138"/>
      <c r="Q448" s="136" t="s">
        <v>17</v>
      </c>
      <c r="R448" s="137">
        <v>1</v>
      </c>
      <c r="S448" s="38"/>
    </row>
    <row r="449" spans="2:19">
      <c r="C449" s="113" t="s">
        <v>526</v>
      </c>
      <c r="D449" s="107" t="s">
        <v>472</v>
      </c>
      <c r="E449" s="108" t="s">
        <v>509</v>
      </c>
      <c r="F449" s="2" t="s">
        <v>28</v>
      </c>
      <c r="G449" s="1" t="s">
        <v>28</v>
      </c>
      <c r="H449" s="201" t="s">
        <v>73</v>
      </c>
      <c r="I449" s="71">
        <v>0</v>
      </c>
      <c r="K449" s="136" t="s">
        <v>29</v>
      </c>
      <c r="L449" s="119" t="s">
        <v>29</v>
      </c>
      <c r="M449" s="137"/>
      <c r="N449" s="136" t="s">
        <v>30</v>
      </c>
      <c r="O449" s="119"/>
      <c r="P449" s="138"/>
      <c r="Q449" s="136" t="s">
        <v>29</v>
      </c>
      <c r="R449" s="137">
        <v>1</v>
      </c>
      <c r="S449" s="38"/>
    </row>
    <row r="450" spans="2:19">
      <c r="C450" s="113" t="s">
        <v>527</v>
      </c>
      <c r="D450" s="107" t="s">
        <v>472</v>
      </c>
      <c r="E450" s="108" t="s">
        <v>509</v>
      </c>
      <c r="F450" s="56" t="s">
        <v>16</v>
      </c>
      <c r="G450" s="122" t="s">
        <v>16</v>
      </c>
      <c r="H450" s="125">
        <v>0</v>
      </c>
      <c r="I450" s="194">
        <v>0</v>
      </c>
      <c r="K450" s="136"/>
      <c r="L450" s="119"/>
      <c r="M450" s="137" t="s">
        <v>21</v>
      </c>
      <c r="N450" s="136" t="s">
        <v>30</v>
      </c>
      <c r="O450" s="119"/>
      <c r="P450" s="138"/>
      <c r="Q450" s="136"/>
      <c r="R450" s="137"/>
      <c r="S450" s="38" t="s">
        <v>370</v>
      </c>
    </row>
    <row r="451" spans="2:19" ht="16.5" thickBot="1">
      <c r="C451" s="114" t="s">
        <v>528</v>
      </c>
      <c r="D451" s="110" t="s">
        <v>472</v>
      </c>
      <c r="E451" s="111" t="s">
        <v>509</v>
      </c>
      <c r="F451" s="100" t="s">
        <v>28</v>
      </c>
      <c r="G451" s="222" t="s">
        <v>28</v>
      </c>
      <c r="H451" s="100">
        <v>-5</v>
      </c>
      <c r="I451" s="223">
        <v>-4</v>
      </c>
      <c r="K451" s="143"/>
      <c r="L451" s="145" t="s">
        <v>17</v>
      </c>
      <c r="M451" s="144"/>
      <c r="N451" s="143" t="s">
        <v>30</v>
      </c>
      <c r="O451" s="145"/>
      <c r="P451" s="146"/>
      <c r="Q451" s="143" t="s">
        <v>17</v>
      </c>
      <c r="R451" s="144">
        <v>1</v>
      </c>
      <c r="S451" s="49" t="s">
        <v>374</v>
      </c>
    </row>
    <row r="452" spans="2:19" ht="16.5" thickBot="1"/>
    <row r="453" spans="2:19" ht="16.5" customHeight="1" thickBot="1">
      <c r="B453" s="16" t="s">
        <v>529</v>
      </c>
      <c r="C453" s="209"/>
      <c r="D453" s="17"/>
      <c r="E453" s="17"/>
      <c r="F453" s="278" t="s">
        <v>1</v>
      </c>
      <c r="G453" s="279"/>
      <c r="H453" s="278" t="s">
        <v>2</v>
      </c>
      <c r="I453" s="279"/>
      <c r="K453" s="262" t="s">
        <v>3</v>
      </c>
      <c r="L453" s="263"/>
      <c r="M453" s="264"/>
      <c r="N453" s="262" t="s">
        <v>4</v>
      </c>
      <c r="O453" s="263"/>
      <c r="P453" s="265"/>
      <c r="Q453" s="268" t="s">
        <v>5</v>
      </c>
      <c r="R453" s="272" t="s">
        <v>6</v>
      </c>
      <c r="S453" s="274" t="s">
        <v>7</v>
      </c>
    </row>
    <row r="454" spans="2:19" ht="16.5" thickBot="1">
      <c r="C454" s="161" t="s">
        <v>8</v>
      </c>
      <c r="D454" s="176" t="s">
        <v>9</v>
      </c>
      <c r="E454" s="177" t="s">
        <v>10</v>
      </c>
      <c r="F454" s="173" t="s">
        <v>11</v>
      </c>
      <c r="G454" s="174" t="s">
        <v>12</v>
      </c>
      <c r="H454" s="173" t="s">
        <v>3</v>
      </c>
      <c r="I454" s="174" t="s">
        <v>4</v>
      </c>
      <c r="K454" s="20">
        <v>-4</v>
      </c>
      <c r="L454" s="21">
        <v>-5</v>
      </c>
      <c r="M454" s="22">
        <v>-6</v>
      </c>
      <c r="N454" s="20">
        <v>-4</v>
      </c>
      <c r="O454" s="21">
        <v>-5</v>
      </c>
      <c r="P454" s="23">
        <v>-6</v>
      </c>
      <c r="Q454" s="269"/>
      <c r="R454" s="273"/>
      <c r="S454" s="275"/>
    </row>
    <row r="455" spans="2:19">
      <c r="C455" s="24" t="s">
        <v>530</v>
      </c>
      <c r="D455" s="27" t="s">
        <v>531</v>
      </c>
      <c r="E455" s="29" t="s">
        <v>532</v>
      </c>
      <c r="F455" s="234" t="s">
        <v>16</v>
      </c>
      <c r="G455" s="152" t="s">
        <v>16</v>
      </c>
      <c r="H455" s="204">
        <v>0</v>
      </c>
      <c r="I455" s="205">
        <v>0</v>
      </c>
      <c r="K455" s="132" t="s">
        <v>533</v>
      </c>
      <c r="L455" s="133" t="s">
        <v>77</v>
      </c>
      <c r="M455" s="134" t="s">
        <v>61</v>
      </c>
      <c r="N455" s="132"/>
      <c r="O455" s="133"/>
      <c r="P455" s="135"/>
      <c r="Q455" s="132"/>
      <c r="R455" s="134"/>
      <c r="S455" s="31" t="s">
        <v>22</v>
      </c>
    </row>
    <row r="456" spans="2:19">
      <c r="C456" s="32" t="s">
        <v>534</v>
      </c>
      <c r="D456" s="35" t="s">
        <v>531</v>
      </c>
      <c r="E456" s="36" t="s">
        <v>532</v>
      </c>
      <c r="F456" s="233" t="s">
        <v>16</v>
      </c>
      <c r="G456" s="128" t="s">
        <v>16</v>
      </c>
      <c r="H456" s="120">
        <v>0</v>
      </c>
      <c r="I456" s="194">
        <v>0</v>
      </c>
      <c r="K456" s="136" t="s">
        <v>535</v>
      </c>
      <c r="L456" s="119" t="s">
        <v>310</v>
      </c>
      <c r="M456" s="137" t="s">
        <v>61</v>
      </c>
      <c r="N456" s="136"/>
      <c r="O456" s="119"/>
      <c r="P456" s="138"/>
      <c r="Q456" s="136"/>
      <c r="R456" s="137"/>
      <c r="S456" s="38" t="s">
        <v>22</v>
      </c>
    </row>
    <row r="457" spans="2:19">
      <c r="C457" s="32" t="s">
        <v>536</v>
      </c>
      <c r="D457" s="35" t="s">
        <v>537</v>
      </c>
      <c r="E457" s="36" t="s">
        <v>532</v>
      </c>
      <c r="F457" s="233" t="s">
        <v>16</v>
      </c>
      <c r="G457" s="128" t="s">
        <v>16</v>
      </c>
      <c r="H457" s="120">
        <v>0</v>
      </c>
      <c r="I457" s="194">
        <v>0</v>
      </c>
      <c r="K457" s="136" t="s">
        <v>355</v>
      </c>
      <c r="L457" s="119" t="s">
        <v>351</v>
      </c>
      <c r="M457" s="137"/>
      <c r="N457" s="136"/>
      <c r="O457" s="119"/>
      <c r="P457" s="138"/>
      <c r="Q457" s="136"/>
      <c r="R457" s="137"/>
      <c r="S457" s="38" t="s">
        <v>22</v>
      </c>
    </row>
    <row r="458" spans="2:19">
      <c r="C458" s="32" t="s">
        <v>538</v>
      </c>
      <c r="D458" s="35" t="s">
        <v>537</v>
      </c>
      <c r="E458" s="36" t="s">
        <v>532</v>
      </c>
      <c r="F458" s="233" t="s">
        <v>16</v>
      </c>
      <c r="G458" s="128" t="s">
        <v>16</v>
      </c>
      <c r="H458" s="120">
        <v>0</v>
      </c>
      <c r="I458" s="194">
        <v>0</v>
      </c>
      <c r="K458" s="136" t="s">
        <v>539</v>
      </c>
      <c r="L458" s="119" t="s">
        <v>540</v>
      </c>
      <c r="M458" s="137" t="s">
        <v>59</v>
      </c>
      <c r="N458" s="136"/>
      <c r="O458" s="119"/>
      <c r="P458" s="138"/>
      <c r="Q458" s="136"/>
      <c r="R458" s="137"/>
      <c r="S458" s="38" t="s">
        <v>22</v>
      </c>
    </row>
    <row r="459" spans="2:19" ht="16.5" thickBot="1">
      <c r="C459" s="39" t="s">
        <v>541</v>
      </c>
      <c r="D459" s="35" t="s">
        <v>537</v>
      </c>
      <c r="E459" s="44" t="s">
        <v>532</v>
      </c>
      <c r="F459" s="235" t="s">
        <v>16</v>
      </c>
      <c r="G459" s="153" t="s">
        <v>16</v>
      </c>
      <c r="H459" s="203">
        <v>0</v>
      </c>
      <c r="I459" s="200">
        <v>0</v>
      </c>
      <c r="K459" s="139" t="s">
        <v>29</v>
      </c>
      <c r="L459" s="140" t="s">
        <v>77</v>
      </c>
      <c r="M459" s="141" t="s">
        <v>59</v>
      </c>
      <c r="N459" s="139"/>
      <c r="O459" s="140"/>
      <c r="P459" s="142"/>
      <c r="Q459" s="143"/>
      <c r="R459" s="144"/>
      <c r="S459" s="46" t="s">
        <v>22</v>
      </c>
    </row>
    <row r="460" spans="2:19">
      <c r="C460" s="24" t="s">
        <v>542</v>
      </c>
      <c r="D460" s="27" t="s">
        <v>531</v>
      </c>
      <c r="E460" s="29" t="s">
        <v>543</v>
      </c>
      <c r="F460" s="234" t="s">
        <v>16</v>
      </c>
      <c r="G460" s="152" t="s">
        <v>16</v>
      </c>
      <c r="H460" s="204">
        <v>0</v>
      </c>
      <c r="I460" s="205">
        <v>0</v>
      </c>
      <c r="K460" s="132" t="s">
        <v>21</v>
      </c>
      <c r="L460" s="133"/>
      <c r="M460" s="134"/>
      <c r="N460" s="132"/>
      <c r="O460" s="133" t="s">
        <v>307</v>
      </c>
      <c r="P460" s="135"/>
      <c r="Q460" s="132"/>
      <c r="R460" s="134"/>
      <c r="S460" s="31" t="s">
        <v>41</v>
      </c>
    </row>
    <row r="461" spans="2:19">
      <c r="C461" s="32" t="s">
        <v>544</v>
      </c>
      <c r="D461" s="35" t="s">
        <v>531</v>
      </c>
      <c r="E461" s="36" t="s">
        <v>543</v>
      </c>
      <c r="F461" s="233" t="s">
        <v>16</v>
      </c>
      <c r="G461" s="128" t="s">
        <v>16</v>
      </c>
      <c r="H461" s="120">
        <v>0</v>
      </c>
      <c r="I461" s="194">
        <v>0</v>
      </c>
      <c r="K461" s="136"/>
      <c r="L461" s="119" t="s">
        <v>429</v>
      </c>
      <c r="M461" s="137" t="s">
        <v>430</v>
      </c>
      <c r="N461" s="136"/>
      <c r="O461" s="119"/>
      <c r="P461" s="138"/>
      <c r="Q461" s="136"/>
      <c r="R461" s="137"/>
      <c r="S461" s="38" t="s">
        <v>22</v>
      </c>
    </row>
    <row r="462" spans="2:19">
      <c r="C462" s="32" t="s">
        <v>545</v>
      </c>
      <c r="D462" s="35" t="s">
        <v>531</v>
      </c>
      <c r="E462" s="36" t="s">
        <v>543</v>
      </c>
      <c r="F462" s="56" t="s">
        <v>28</v>
      </c>
      <c r="G462" s="59" t="s">
        <v>28</v>
      </c>
      <c r="H462" s="57">
        <v>-4</v>
      </c>
      <c r="I462" s="59">
        <v>-4</v>
      </c>
      <c r="K462" s="136" t="s">
        <v>29</v>
      </c>
      <c r="L462" s="119"/>
      <c r="M462" s="137"/>
      <c r="N462" s="136" t="s">
        <v>30</v>
      </c>
      <c r="O462" s="119"/>
      <c r="P462" s="138"/>
      <c r="Q462" s="136" t="s">
        <v>17</v>
      </c>
      <c r="R462" s="137">
        <v>1</v>
      </c>
      <c r="S462" s="38"/>
    </row>
    <row r="463" spans="2:19">
      <c r="C463" s="32" t="s">
        <v>546</v>
      </c>
      <c r="D463" s="35" t="s">
        <v>531</v>
      </c>
      <c r="E463" s="36" t="s">
        <v>543</v>
      </c>
      <c r="F463" s="233" t="s">
        <v>16</v>
      </c>
      <c r="G463" s="128" t="s">
        <v>16</v>
      </c>
      <c r="H463" s="120">
        <v>0</v>
      </c>
      <c r="I463" s="194">
        <v>0</v>
      </c>
      <c r="K463" s="136"/>
      <c r="L463" s="119" t="s">
        <v>355</v>
      </c>
      <c r="M463" s="137" t="s">
        <v>351</v>
      </c>
      <c r="N463" s="136"/>
      <c r="O463" s="119"/>
      <c r="P463" s="138"/>
      <c r="Q463" s="136"/>
      <c r="R463" s="137"/>
      <c r="S463" s="38" t="s">
        <v>22</v>
      </c>
    </row>
    <row r="464" spans="2:19">
      <c r="C464" s="32" t="s">
        <v>547</v>
      </c>
      <c r="D464" s="35" t="s">
        <v>531</v>
      </c>
      <c r="E464" s="36" t="s">
        <v>543</v>
      </c>
      <c r="F464" s="56" t="s">
        <v>28</v>
      </c>
      <c r="G464" s="59" t="s">
        <v>28</v>
      </c>
      <c r="H464" s="57">
        <v>-5</v>
      </c>
      <c r="I464" s="59">
        <v>-6</v>
      </c>
      <c r="K464" s="136"/>
      <c r="L464" s="119" t="s">
        <v>29</v>
      </c>
      <c r="M464" s="137"/>
      <c r="N464" s="136"/>
      <c r="O464" s="119"/>
      <c r="P464" s="138" t="s">
        <v>30</v>
      </c>
      <c r="Q464" s="136" t="s">
        <v>17</v>
      </c>
      <c r="R464" s="137">
        <v>1</v>
      </c>
      <c r="S464" s="38"/>
    </row>
    <row r="465" spans="3:19">
      <c r="C465" s="32" t="s">
        <v>548</v>
      </c>
      <c r="D465" s="35" t="s">
        <v>531</v>
      </c>
      <c r="E465" s="36" t="s">
        <v>543</v>
      </c>
      <c r="F465" s="233" t="s">
        <v>16</v>
      </c>
      <c r="G465" s="128" t="s">
        <v>16</v>
      </c>
      <c r="H465" s="120">
        <v>0</v>
      </c>
      <c r="I465" s="194">
        <v>0</v>
      </c>
      <c r="K465" s="136"/>
      <c r="L465" s="119" t="s">
        <v>85</v>
      </c>
      <c r="M465" s="137" t="s">
        <v>17</v>
      </c>
      <c r="N465" s="136" t="s">
        <v>30</v>
      </c>
      <c r="O465" s="119" t="s">
        <v>30</v>
      </c>
      <c r="P465" s="138"/>
      <c r="Q465" s="136"/>
      <c r="R465" s="137"/>
      <c r="S465" s="38"/>
    </row>
    <row r="466" spans="3:19">
      <c r="C466" s="32" t="s">
        <v>549</v>
      </c>
      <c r="D466" s="35" t="s">
        <v>531</v>
      </c>
      <c r="E466" s="36" t="s">
        <v>543</v>
      </c>
      <c r="F466" s="233" t="s">
        <v>16</v>
      </c>
      <c r="G466" s="128" t="s">
        <v>16</v>
      </c>
      <c r="H466" s="120">
        <v>0</v>
      </c>
      <c r="I466" s="194">
        <v>0</v>
      </c>
      <c r="K466" s="136"/>
      <c r="L466" s="119" t="s">
        <v>108</v>
      </c>
      <c r="M466" s="137"/>
      <c r="N466" s="136" t="s">
        <v>351</v>
      </c>
      <c r="O466" s="119"/>
      <c r="P466" s="138"/>
      <c r="Q466" s="136"/>
      <c r="R466" s="137"/>
      <c r="S466" s="38"/>
    </row>
    <row r="467" spans="3:19">
      <c r="C467" s="32" t="s">
        <v>550</v>
      </c>
      <c r="D467" s="35" t="s">
        <v>531</v>
      </c>
      <c r="E467" s="36" t="s">
        <v>543</v>
      </c>
      <c r="F467" s="56" t="s">
        <v>28</v>
      </c>
      <c r="G467" s="59" t="s">
        <v>28</v>
      </c>
      <c r="H467" s="57">
        <v>-4</v>
      </c>
      <c r="I467" s="59">
        <v>-4</v>
      </c>
      <c r="K467" s="136" t="s">
        <v>29</v>
      </c>
      <c r="L467" s="119"/>
      <c r="M467" s="137"/>
      <c r="N467" s="136" t="s">
        <v>30</v>
      </c>
      <c r="O467" s="119"/>
      <c r="P467" s="138"/>
      <c r="Q467" s="136" t="s">
        <v>17</v>
      </c>
      <c r="R467" s="137">
        <v>1</v>
      </c>
      <c r="S467" s="38"/>
    </row>
    <row r="468" spans="3:19">
      <c r="C468" s="32" t="s">
        <v>551</v>
      </c>
      <c r="D468" s="35" t="s">
        <v>531</v>
      </c>
      <c r="E468" s="36" t="s">
        <v>543</v>
      </c>
      <c r="F468" s="233" t="s">
        <v>16</v>
      </c>
      <c r="G468" s="128" t="s">
        <v>16</v>
      </c>
      <c r="H468" s="120">
        <v>0</v>
      </c>
      <c r="I468" s="194">
        <v>0</v>
      </c>
      <c r="K468" s="136" t="s">
        <v>552</v>
      </c>
      <c r="L468" s="119"/>
      <c r="M468" s="137"/>
      <c r="N468" s="136" t="s">
        <v>553</v>
      </c>
      <c r="O468" s="119"/>
      <c r="P468" s="138"/>
      <c r="Q468" s="136"/>
      <c r="R468" s="137"/>
      <c r="S468" s="38"/>
    </row>
    <row r="469" spans="3:19" ht="16.5" thickBot="1">
      <c r="C469" s="39" t="s">
        <v>554</v>
      </c>
      <c r="D469" s="42" t="s">
        <v>531</v>
      </c>
      <c r="E469" s="44" t="s">
        <v>543</v>
      </c>
      <c r="F469" s="60" t="s">
        <v>28</v>
      </c>
      <c r="G469" s="63" t="s">
        <v>28</v>
      </c>
      <c r="H469" s="61">
        <v>-4</v>
      </c>
      <c r="I469" s="63">
        <v>-4</v>
      </c>
      <c r="K469" s="143" t="s">
        <v>29</v>
      </c>
      <c r="L469" s="145"/>
      <c r="M469" s="144"/>
      <c r="N469" s="143" t="s">
        <v>30</v>
      </c>
      <c r="O469" s="145"/>
      <c r="P469" s="146"/>
      <c r="Q469" s="143" t="s">
        <v>17</v>
      </c>
      <c r="R469" s="144">
        <v>1</v>
      </c>
      <c r="S469" s="49"/>
    </row>
    <row r="470" spans="3:19">
      <c r="C470" s="24" t="s">
        <v>555</v>
      </c>
      <c r="D470" s="27" t="s">
        <v>537</v>
      </c>
      <c r="E470" s="29" t="s">
        <v>543</v>
      </c>
      <c r="F470" s="51" t="s">
        <v>28</v>
      </c>
      <c r="G470" s="55" t="s">
        <v>28</v>
      </c>
      <c r="H470" s="52">
        <v>-4</v>
      </c>
      <c r="I470" s="55">
        <v>-4</v>
      </c>
      <c r="K470" s="147" t="s">
        <v>29</v>
      </c>
      <c r="L470" s="148"/>
      <c r="M470" s="149"/>
      <c r="N470" s="147" t="s">
        <v>30</v>
      </c>
      <c r="O470" s="148"/>
      <c r="P470" s="150"/>
      <c r="Q470" s="132" t="s">
        <v>17</v>
      </c>
      <c r="R470" s="134">
        <v>1</v>
      </c>
      <c r="S470" s="50"/>
    </row>
    <row r="471" spans="3:19">
      <c r="C471" s="32" t="s">
        <v>556</v>
      </c>
      <c r="D471" s="35" t="s">
        <v>537</v>
      </c>
      <c r="E471" s="36" t="s">
        <v>543</v>
      </c>
      <c r="F471" s="56" t="s">
        <v>28</v>
      </c>
      <c r="G471" s="59" t="s">
        <v>28</v>
      </c>
      <c r="H471" s="57">
        <v>-6</v>
      </c>
      <c r="I471" s="59">
        <v>-4</v>
      </c>
      <c r="K471" s="136"/>
      <c r="L471" s="119"/>
      <c r="M471" s="137" t="s">
        <v>29</v>
      </c>
      <c r="N471" s="136" t="s">
        <v>30</v>
      </c>
      <c r="O471" s="119"/>
      <c r="P471" s="138"/>
      <c r="Q471" s="136" t="s">
        <v>30</v>
      </c>
      <c r="R471" s="137">
        <v>2</v>
      </c>
      <c r="S471" s="38"/>
    </row>
    <row r="472" spans="3:19">
      <c r="C472" s="32" t="s">
        <v>557</v>
      </c>
      <c r="D472" s="35" t="s">
        <v>537</v>
      </c>
      <c r="E472" s="36" t="s">
        <v>543</v>
      </c>
      <c r="F472" s="56" t="s">
        <v>28</v>
      </c>
      <c r="G472" s="59" t="s">
        <v>28</v>
      </c>
      <c r="H472" s="57">
        <v>-5</v>
      </c>
      <c r="I472" s="59">
        <v>-5</v>
      </c>
      <c r="K472" s="136"/>
      <c r="L472" s="119" t="s">
        <v>29</v>
      </c>
      <c r="M472" s="137"/>
      <c r="N472" s="136"/>
      <c r="O472" s="119" t="s">
        <v>30</v>
      </c>
      <c r="P472" s="138"/>
      <c r="Q472" s="136" t="s">
        <v>17</v>
      </c>
      <c r="R472" s="137">
        <v>1</v>
      </c>
      <c r="S472" s="38"/>
    </row>
    <row r="473" spans="3:19">
      <c r="C473" s="32" t="s">
        <v>558</v>
      </c>
      <c r="D473" s="35" t="s">
        <v>537</v>
      </c>
      <c r="E473" s="36" t="s">
        <v>543</v>
      </c>
      <c r="F473" s="56" t="s">
        <v>28</v>
      </c>
      <c r="G473" s="59" t="s">
        <v>28</v>
      </c>
      <c r="H473" s="57">
        <v>-5</v>
      </c>
      <c r="I473" s="59">
        <v>-5</v>
      </c>
      <c r="K473" s="136"/>
      <c r="L473" s="119" t="s">
        <v>29</v>
      </c>
      <c r="M473" s="137"/>
      <c r="N473" s="136"/>
      <c r="O473" s="119" t="s">
        <v>30</v>
      </c>
      <c r="P473" s="138"/>
      <c r="Q473" s="136" t="s">
        <v>17</v>
      </c>
      <c r="R473" s="137">
        <v>1</v>
      </c>
      <c r="S473" s="38"/>
    </row>
    <row r="474" spans="3:19">
      <c r="C474" s="32" t="s">
        <v>559</v>
      </c>
      <c r="D474" s="35" t="s">
        <v>537</v>
      </c>
      <c r="E474" s="36" t="s">
        <v>543</v>
      </c>
      <c r="F474" s="233" t="s">
        <v>16</v>
      </c>
      <c r="G474" s="128" t="s">
        <v>16</v>
      </c>
      <c r="H474" s="120">
        <v>0</v>
      </c>
      <c r="I474" s="194">
        <v>0</v>
      </c>
      <c r="K474" s="136"/>
      <c r="L474" s="119" t="s">
        <v>560</v>
      </c>
      <c r="M474" s="137" t="s">
        <v>561</v>
      </c>
      <c r="N474" s="136"/>
      <c r="O474" s="119"/>
      <c r="P474" s="138"/>
      <c r="Q474" s="136"/>
      <c r="R474" s="137"/>
      <c r="S474" s="38" t="s">
        <v>22</v>
      </c>
    </row>
    <row r="475" spans="3:19">
      <c r="C475" s="32" t="s">
        <v>562</v>
      </c>
      <c r="D475" s="35" t="s">
        <v>537</v>
      </c>
      <c r="E475" s="36" t="s">
        <v>543</v>
      </c>
      <c r="F475" s="56" t="s">
        <v>28</v>
      </c>
      <c r="G475" s="59" t="s">
        <v>28</v>
      </c>
      <c r="H475" s="57">
        <v>-5</v>
      </c>
      <c r="I475" s="59">
        <v>-5</v>
      </c>
      <c r="K475" s="136"/>
      <c r="L475" s="119" t="s">
        <v>29</v>
      </c>
      <c r="M475" s="137"/>
      <c r="N475" s="136"/>
      <c r="O475" s="119" t="s">
        <v>30</v>
      </c>
      <c r="P475" s="138"/>
      <c r="Q475" s="136" t="s">
        <v>17</v>
      </c>
      <c r="R475" s="137">
        <v>1</v>
      </c>
      <c r="S475" s="38"/>
    </row>
    <row r="476" spans="3:19">
      <c r="C476" s="32" t="s">
        <v>563</v>
      </c>
      <c r="D476" s="35" t="s">
        <v>537</v>
      </c>
      <c r="E476" s="36" t="s">
        <v>543</v>
      </c>
      <c r="F476" s="56" t="s">
        <v>28</v>
      </c>
      <c r="G476" s="59" t="s">
        <v>28</v>
      </c>
      <c r="H476" s="57">
        <v>-5</v>
      </c>
      <c r="I476" s="59">
        <v>-5</v>
      </c>
      <c r="K476" s="136"/>
      <c r="L476" s="119" t="s">
        <v>29</v>
      </c>
      <c r="M476" s="137"/>
      <c r="N476" s="136"/>
      <c r="O476" s="119" t="s">
        <v>30</v>
      </c>
      <c r="P476" s="138"/>
      <c r="Q476" s="136" t="s">
        <v>17</v>
      </c>
      <c r="R476" s="137">
        <v>1</v>
      </c>
      <c r="S476" s="38"/>
    </row>
    <row r="477" spans="3:19">
      <c r="C477" s="32" t="s">
        <v>564</v>
      </c>
      <c r="D477" s="35" t="s">
        <v>537</v>
      </c>
      <c r="E477" s="36" t="s">
        <v>543</v>
      </c>
      <c r="F477" s="56" t="s">
        <v>28</v>
      </c>
      <c r="G477" s="59" t="s">
        <v>28</v>
      </c>
      <c r="H477" s="57">
        <v>-5</v>
      </c>
      <c r="I477" s="59">
        <v>-5</v>
      </c>
      <c r="K477" s="136"/>
      <c r="L477" s="119" t="s">
        <v>29</v>
      </c>
      <c r="M477" s="137"/>
      <c r="N477" s="136"/>
      <c r="O477" s="119" t="s">
        <v>30</v>
      </c>
      <c r="P477" s="138"/>
      <c r="Q477" s="136" t="s">
        <v>17</v>
      </c>
      <c r="R477" s="137">
        <v>1</v>
      </c>
      <c r="S477" s="38"/>
    </row>
    <row r="478" spans="3:19">
      <c r="C478" s="32" t="s">
        <v>565</v>
      </c>
      <c r="D478" s="35" t="s">
        <v>537</v>
      </c>
      <c r="E478" s="36" t="s">
        <v>543</v>
      </c>
      <c r="F478" s="56" t="s">
        <v>28</v>
      </c>
      <c r="G478" s="59" t="s">
        <v>28</v>
      </c>
      <c r="H478" s="57">
        <v>-5</v>
      </c>
      <c r="I478" s="59">
        <v>-5</v>
      </c>
      <c r="K478" s="136" t="s">
        <v>29</v>
      </c>
      <c r="L478" s="119" t="s">
        <v>29</v>
      </c>
      <c r="M478" s="137"/>
      <c r="N478" s="136"/>
      <c r="O478" s="119" t="s">
        <v>30</v>
      </c>
      <c r="P478" s="138"/>
      <c r="Q478" s="136" t="s">
        <v>17</v>
      </c>
      <c r="R478" s="137">
        <v>1</v>
      </c>
      <c r="S478" s="38"/>
    </row>
    <row r="479" spans="3:19" ht="16.5" thickBot="1">
      <c r="C479" s="39" t="s">
        <v>566</v>
      </c>
      <c r="D479" s="42" t="s">
        <v>537</v>
      </c>
      <c r="E479" s="44" t="s">
        <v>543</v>
      </c>
      <c r="F479" s="60" t="s">
        <v>28</v>
      </c>
      <c r="G479" s="63" t="s">
        <v>28</v>
      </c>
      <c r="H479" s="61">
        <v>-5</v>
      </c>
      <c r="I479" s="63">
        <v>-5</v>
      </c>
      <c r="K479" s="143"/>
      <c r="L479" s="145" t="s">
        <v>29</v>
      </c>
      <c r="M479" s="144"/>
      <c r="N479" s="143"/>
      <c r="O479" s="145" t="s">
        <v>30</v>
      </c>
      <c r="P479" s="146"/>
      <c r="Q479" s="143" t="s">
        <v>17</v>
      </c>
      <c r="R479" s="144">
        <v>1</v>
      </c>
      <c r="S479" s="49"/>
    </row>
    <row r="480" spans="3:19" ht="16.5" thickBot="1"/>
    <row r="481" spans="2:19" ht="16.5" customHeight="1" thickBot="1">
      <c r="B481" s="16" t="s">
        <v>567</v>
      </c>
      <c r="C481" s="209"/>
      <c r="D481" s="17"/>
      <c r="E481" s="17"/>
      <c r="F481" s="282" t="s">
        <v>1</v>
      </c>
      <c r="G481" s="283"/>
      <c r="H481" s="282" t="s">
        <v>2</v>
      </c>
      <c r="I481" s="283"/>
      <c r="K481" s="262" t="s">
        <v>3</v>
      </c>
      <c r="L481" s="263"/>
      <c r="M481" s="264"/>
      <c r="N481" s="262" t="s">
        <v>4</v>
      </c>
      <c r="O481" s="263"/>
      <c r="P481" s="265"/>
      <c r="Q481" s="268" t="s">
        <v>5</v>
      </c>
      <c r="R481" s="272" t="s">
        <v>6</v>
      </c>
      <c r="S481" s="274" t="s">
        <v>7</v>
      </c>
    </row>
    <row r="482" spans="2:19" ht="16.5" thickBot="1">
      <c r="C482" s="161" t="s">
        <v>8</v>
      </c>
      <c r="D482" s="176" t="s">
        <v>9</v>
      </c>
      <c r="E482" s="177" t="s">
        <v>10</v>
      </c>
      <c r="F482" s="163" t="s">
        <v>11</v>
      </c>
      <c r="G482" s="164" t="s">
        <v>12</v>
      </c>
      <c r="H482" s="163" t="s">
        <v>3</v>
      </c>
      <c r="I482" s="164" t="s">
        <v>4</v>
      </c>
      <c r="K482" s="20">
        <v>-4</v>
      </c>
      <c r="L482" s="21">
        <v>-5</v>
      </c>
      <c r="M482" s="22">
        <v>-6</v>
      </c>
      <c r="N482" s="20">
        <v>-4</v>
      </c>
      <c r="O482" s="21">
        <v>-5</v>
      </c>
      <c r="P482" s="23">
        <v>-6</v>
      </c>
      <c r="Q482" s="269"/>
      <c r="R482" s="273"/>
      <c r="S482" s="275"/>
    </row>
    <row r="483" spans="2:19">
      <c r="C483" s="24" t="s">
        <v>568</v>
      </c>
      <c r="D483" s="27" t="s">
        <v>569</v>
      </c>
      <c r="E483" s="29" t="s">
        <v>532</v>
      </c>
      <c r="F483" s="236" t="s">
        <v>16</v>
      </c>
      <c r="G483" s="175" t="s">
        <v>16</v>
      </c>
      <c r="H483" s="195">
        <v>0</v>
      </c>
      <c r="I483" s="196">
        <v>0</v>
      </c>
      <c r="K483" s="132"/>
      <c r="L483" s="133"/>
      <c r="M483" s="134"/>
      <c r="N483" s="132"/>
      <c r="O483" s="133"/>
      <c r="P483" s="135"/>
      <c r="Q483" s="132"/>
      <c r="R483" s="134"/>
      <c r="S483" s="31" t="s">
        <v>404</v>
      </c>
    </row>
    <row r="484" spans="2:19">
      <c r="C484" s="32" t="s">
        <v>570</v>
      </c>
      <c r="D484" s="35" t="s">
        <v>569</v>
      </c>
      <c r="E484" s="36" t="s">
        <v>532</v>
      </c>
      <c r="F484" s="233" t="s">
        <v>16</v>
      </c>
      <c r="G484" s="128" t="s">
        <v>16</v>
      </c>
      <c r="H484" s="125">
        <v>0</v>
      </c>
      <c r="I484" s="194">
        <v>0</v>
      </c>
      <c r="K484" s="136"/>
      <c r="L484" s="119"/>
      <c r="M484" s="137"/>
      <c r="N484" s="136"/>
      <c r="O484" s="119"/>
      <c r="P484" s="138"/>
      <c r="Q484" s="136"/>
      <c r="R484" s="137"/>
      <c r="S484" s="38" t="s">
        <v>404</v>
      </c>
    </row>
    <row r="485" spans="2:19">
      <c r="C485" s="32" t="s">
        <v>571</v>
      </c>
      <c r="D485" s="35" t="s">
        <v>537</v>
      </c>
      <c r="E485" s="36" t="s">
        <v>532</v>
      </c>
      <c r="F485" s="233" t="s">
        <v>16</v>
      </c>
      <c r="G485" s="128" t="s">
        <v>16</v>
      </c>
      <c r="H485" s="125">
        <v>0</v>
      </c>
      <c r="I485" s="194">
        <v>0</v>
      </c>
      <c r="K485" s="136"/>
      <c r="L485" s="119" t="s">
        <v>572</v>
      </c>
      <c r="M485" s="137"/>
      <c r="N485" s="136" t="s">
        <v>77</v>
      </c>
      <c r="O485" s="119" t="s">
        <v>30</v>
      </c>
      <c r="P485" s="138"/>
      <c r="Q485" s="136"/>
      <c r="R485" s="137"/>
      <c r="S485" s="38"/>
    </row>
    <row r="486" spans="2:19">
      <c r="C486" s="32" t="s">
        <v>573</v>
      </c>
      <c r="D486" s="35" t="s">
        <v>537</v>
      </c>
      <c r="E486" s="36" t="s">
        <v>532</v>
      </c>
      <c r="F486" s="233" t="s">
        <v>16</v>
      </c>
      <c r="G486" s="128" t="s">
        <v>16</v>
      </c>
      <c r="H486" s="125">
        <v>0</v>
      </c>
      <c r="I486" s="194">
        <v>0</v>
      </c>
      <c r="K486" s="136"/>
      <c r="L486" s="119" t="s">
        <v>572</v>
      </c>
      <c r="M486" s="137"/>
      <c r="N486" s="136" t="s">
        <v>77</v>
      </c>
      <c r="O486" s="119"/>
      <c r="P486" s="138"/>
      <c r="Q486" s="136"/>
      <c r="R486" s="137"/>
      <c r="S486" s="38"/>
    </row>
    <row r="487" spans="2:19" ht="16.5" thickBot="1">
      <c r="C487" s="39" t="s">
        <v>574</v>
      </c>
      <c r="D487" s="35" t="s">
        <v>537</v>
      </c>
      <c r="E487" s="44" t="s">
        <v>532</v>
      </c>
      <c r="F487" s="233" t="s">
        <v>16</v>
      </c>
      <c r="G487" s="128" t="s">
        <v>16</v>
      </c>
      <c r="H487" s="126">
        <v>0</v>
      </c>
      <c r="I487" s="200">
        <v>0</v>
      </c>
      <c r="K487" s="139"/>
      <c r="L487" s="140" t="s">
        <v>575</v>
      </c>
      <c r="M487" s="141"/>
      <c r="N487" s="139" t="s">
        <v>61</v>
      </c>
      <c r="O487" s="140" t="s">
        <v>422</v>
      </c>
      <c r="P487" s="142"/>
      <c r="Q487" s="143"/>
      <c r="R487" s="144"/>
      <c r="S487" s="46"/>
    </row>
    <row r="488" spans="2:19">
      <c r="C488" s="24" t="s">
        <v>576</v>
      </c>
      <c r="D488" s="27" t="s">
        <v>569</v>
      </c>
      <c r="E488" s="29" t="s">
        <v>577</v>
      </c>
      <c r="F488" s="51" t="s">
        <v>28</v>
      </c>
      <c r="G488" s="55" t="s">
        <v>28</v>
      </c>
      <c r="H488" s="52">
        <v>-4</v>
      </c>
      <c r="I488" s="55">
        <v>-5</v>
      </c>
      <c r="K488" s="132" t="s">
        <v>29</v>
      </c>
      <c r="L488" s="133"/>
      <c r="M488" s="134"/>
      <c r="N488" s="132"/>
      <c r="O488" s="133" t="s">
        <v>30</v>
      </c>
      <c r="P488" s="135"/>
      <c r="Q488" s="132" t="s">
        <v>17</v>
      </c>
      <c r="R488" s="134">
        <v>2</v>
      </c>
      <c r="S488" s="31"/>
    </row>
    <row r="489" spans="2:19">
      <c r="C489" s="32" t="s">
        <v>578</v>
      </c>
      <c r="D489" s="35" t="s">
        <v>569</v>
      </c>
      <c r="E489" s="36" t="s">
        <v>577</v>
      </c>
      <c r="F489" s="56" t="s">
        <v>28</v>
      </c>
      <c r="G489" s="59" t="s">
        <v>28</v>
      </c>
      <c r="H489" s="57">
        <v>-4</v>
      </c>
      <c r="I489" s="59">
        <v>-5</v>
      </c>
      <c r="K489" s="136" t="s">
        <v>29</v>
      </c>
      <c r="L489" s="119"/>
      <c r="M489" s="137"/>
      <c r="N489" s="136"/>
      <c r="O489" s="119" t="s">
        <v>30</v>
      </c>
      <c r="P489" s="138"/>
      <c r="Q489" s="136" t="s">
        <v>17</v>
      </c>
      <c r="R489" s="137">
        <v>2</v>
      </c>
      <c r="S489" s="38"/>
    </row>
    <row r="490" spans="2:19">
      <c r="C490" s="32" t="s">
        <v>579</v>
      </c>
      <c r="D490" s="35" t="s">
        <v>569</v>
      </c>
      <c r="E490" s="36" t="s">
        <v>577</v>
      </c>
      <c r="F490" s="56" t="s">
        <v>28</v>
      </c>
      <c r="G490" s="59" t="s">
        <v>28</v>
      </c>
      <c r="H490" s="57">
        <v>-4</v>
      </c>
      <c r="I490" s="59">
        <v>-5</v>
      </c>
      <c r="K490" s="136" t="s">
        <v>29</v>
      </c>
      <c r="L490" s="119"/>
      <c r="M490" s="137"/>
      <c r="N490" s="136"/>
      <c r="O490" s="119" t="s">
        <v>30</v>
      </c>
      <c r="P490" s="138"/>
      <c r="Q490" s="136" t="s">
        <v>17</v>
      </c>
      <c r="R490" s="137">
        <v>2</v>
      </c>
      <c r="S490" s="38"/>
    </row>
    <row r="491" spans="2:19">
      <c r="C491" s="32" t="s">
        <v>580</v>
      </c>
      <c r="D491" s="35" t="s">
        <v>569</v>
      </c>
      <c r="E491" s="36" t="s">
        <v>577</v>
      </c>
      <c r="F491" s="56" t="s">
        <v>28</v>
      </c>
      <c r="G491" s="59" t="s">
        <v>28</v>
      </c>
      <c r="H491" s="57">
        <v>-4</v>
      </c>
      <c r="I491" s="59">
        <v>-5</v>
      </c>
      <c r="K491" s="136" t="s">
        <v>29</v>
      </c>
      <c r="L491" s="119"/>
      <c r="M491" s="137"/>
      <c r="N491" s="136"/>
      <c r="O491" s="119" t="s">
        <v>30</v>
      </c>
      <c r="P491" s="138"/>
      <c r="Q491" s="136" t="s">
        <v>17</v>
      </c>
      <c r="R491" s="137">
        <v>2</v>
      </c>
      <c r="S491" s="38"/>
    </row>
    <row r="492" spans="2:19">
      <c r="C492" s="32" t="s">
        <v>581</v>
      </c>
      <c r="D492" s="35" t="s">
        <v>569</v>
      </c>
      <c r="E492" s="36" t="s">
        <v>577</v>
      </c>
      <c r="F492" s="56" t="s">
        <v>28</v>
      </c>
      <c r="G492" s="59" t="s">
        <v>28</v>
      </c>
      <c r="H492" s="57">
        <v>-4</v>
      </c>
      <c r="I492" s="59">
        <v>-5</v>
      </c>
      <c r="K492" s="136" t="s">
        <v>29</v>
      </c>
      <c r="L492" s="119"/>
      <c r="M492" s="137"/>
      <c r="N492" s="136"/>
      <c r="O492" s="119" t="s">
        <v>30</v>
      </c>
      <c r="P492" s="138"/>
      <c r="Q492" s="136" t="s">
        <v>17</v>
      </c>
      <c r="R492" s="137">
        <v>2</v>
      </c>
      <c r="S492" s="38"/>
    </row>
    <row r="493" spans="2:19">
      <c r="C493" s="32" t="s">
        <v>582</v>
      </c>
      <c r="D493" s="35" t="s">
        <v>569</v>
      </c>
      <c r="E493" s="36" t="s">
        <v>577</v>
      </c>
      <c r="F493" s="56" t="s">
        <v>28</v>
      </c>
      <c r="G493" s="59" t="s">
        <v>28</v>
      </c>
      <c r="H493" s="57">
        <v>-4</v>
      </c>
      <c r="I493" s="59">
        <v>-5</v>
      </c>
      <c r="K493" s="136" t="s">
        <v>29</v>
      </c>
      <c r="L493" s="119"/>
      <c r="M493" s="137"/>
      <c r="N493" s="136"/>
      <c r="O493" s="119" t="s">
        <v>30</v>
      </c>
      <c r="P493" s="138"/>
      <c r="Q493" s="136" t="s">
        <v>17</v>
      </c>
      <c r="R493" s="137">
        <v>2</v>
      </c>
      <c r="S493" s="38"/>
    </row>
    <row r="494" spans="2:19">
      <c r="C494" s="32" t="s">
        <v>583</v>
      </c>
      <c r="D494" s="35" t="s">
        <v>569</v>
      </c>
      <c r="E494" s="36" t="s">
        <v>577</v>
      </c>
      <c r="F494" s="56" t="s">
        <v>28</v>
      </c>
      <c r="G494" s="59" t="s">
        <v>28</v>
      </c>
      <c r="H494" s="57">
        <v>-4</v>
      </c>
      <c r="I494" s="59">
        <v>-5</v>
      </c>
      <c r="K494" s="136" t="s">
        <v>29</v>
      </c>
      <c r="L494" s="119"/>
      <c r="M494" s="137"/>
      <c r="N494" s="136"/>
      <c r="O494" s="119" t="s">
        <v>30</v>
      </c>
      <c r="P494" s="138"/>
      <c r="Q494" s="136" t="s">
        <v>17</v>
      </c>
      <c r="R494" s="137">
        <v>2</v>
      </c>
      <c r="S494" s="38"/>
    </row>
    <row r="495" spans="2:19">
      <c r="C495" s="32" t="s">
        <v>584</v>
      </c>
      <c r="D495" s="35" t="s">
        <v>569</v>
      </c>
      <c r="E495" s="36" t="s">
        <v>577</v>
      </c>
      <c r="F495" s="56" t="s">
        <v>28</v>
      </c>
      <c r="G495" s="59" t="s">
        <v>28</v>
      </c>
      <c r="H495" s="57">
        <v>-4</v>
      </c>
      <c r="I495" s="59">
        <v>-5</v>
      </c>
      <c r="K495" s="136" t="s">
        <v>29</v>
      </c>
      <c r="L495" s="119"/>
      <c r="M495" s="137"/>
      <c r="N495" s="136"/>
      <c r="O495" s="119" t="s">
        <v>30</v>
      </c>
      <c r="P495" s="138"/>
      <c r="Q495" s="136" t="s">
        <v>17</v>
      </c>
      <c r="R495" s="137">
        <v>2</v>
      </c>
      <c r="S495" s="38"/>
    </row>
    <row r="496" spans="2:19">
      <c r="C496" s="32" t="s">
        <v>585</v>
      </c>
      <c r="D496" s="35" t="s">
        <v>569</v>
      </c>
      <c r="E496" s="36" t="s">
        <v>577</v>
      </c>
      <c r="F496" s="56" t="s">
        <v>28</v>
      </c>
      <c r="G496" s="59" t="s">
        <v>28</v>
      </c>
      <c r="H496" s="57">
        <v>-4</v>
      </c>
      <c r="I496" s="59">
        <v>-5</v>
      </c>
      <c r="K496" s="136" t="s">
        <v>29</v>
      </c>
      <c r="L496" s="119"/>
      <c r="M496" s="137"/>
      <c r="N496" s="136"/>
      <c r="O496" s="119" t="s">
        <v>30</v>
      </c>
      <c r="P496" s="138"/>
      <c r="Q496" s="136" t="s">
        <v>17</v>
      </c>
      <c r="R496" s="137">
        <v>2</v>
      </c>
      <c r="S496" s="38"/>
    </row>
    <row r="497" spans="3:19" ht="16.5" thickBot="1">
      <c r="C497" s="39" t="s">
        <v>586</v>
      </c>
      <c r="D497" s="42" t="s">
        <v>569</v>
      </c>
      <c r="E497" s="44" t="s">
        <v>577</v>
      </c>
      <c r="F497" s="60" t="s">
        <v>28</v>
      </c>
      <c r="G497" s="63" t="s">
        <v>28</v>
      </c>
      <c r="H497" s="61">
        <v>-4</v>
      </c>
      <c r="I497" s="63">
        <v>-5</v>
      </c>
      <c r="K497" s="143" t="s">
        <v>29</v>
      </c>
      <c r="L497" s="145"/>
      <c r="M497" s="144"/>
      <c r="N497" s="143"/>
      <c r="O497" s="145" t="s">
        <v>30</v>
      </c>
      <c r="P497" s="146"/>
      <c r="Q497" s="143" t="s">
        <v>17</v>
      </c>
      <c r="R497" s="144">
        <v>2</v>
      </c>
      <c r="S497" s="49"/>
    </row>
    <row r="498" spans="3:19">
      <c r="C498" s="24" t="s">
        <v>587</v>
      </c>
      <c r="D498" s="27" t="s">
        <v>537</v>
      </c>
      <c r="E498" s="29" t="s">
        <v>577</v>
      </c>
      <c r="F498" s="51" t="s">
        <v>28</v>
      </c>
      <c r="G498" s="55" t="s">
        <v>28</v>
      </c>
      <c r="H498" s="52">
        <v>0</v>
      </c>
      <c r="I498" s="55">
        <v>-5</v>
      </c>
      <c r="K498" s="147"/>
      <c r="L498" s="148" t="s">
        <v>29</v>
      </c>
      <c r="M498" s="149"/>
      <c r="N498" s="147"/>
      <c r="O498" s="148" t="s">
        <v>30</v>
      </c>
      <c r="P498" s="150"/>
      <c r="Q498" s="132" t="s">
        <v>30</v>
      </c>
      <c r="R498" s="134">
        <v>2</v>
      </c>
      <c r="S498" s="50"/>
    </row>
    <row r="499" spans="3:19">
      <c r="C499" s="32" t="s">
        <v>588</v>
      </c>
      <c r="D499" s="35" t="s">
        <v>537</v>
      </c>
      <c r="E499" s="36" t="s">
        <v>577</v>
      </c>
      <c r="F499" s="56" t="s">
        <v>28</v>
      </c>
      <c r="G499" s="59" t="s">
        <v>28</v>
      </c>
      <c r="H499" s="57">
        <v>0</v>
      </c>
      <c r="I499" s="59">
        <v>-5</v>
      </c>
      <c r="K499" s="136"/>
      <c r="L499" s="119" t="s">
        <v>29</v>
      </c>
      <c r="M499" s="137"/>
      <c r="N499" s="136"/>
      <c r="O499" s="119" t="s">
        <v>30</v>
      </c>
      <c r="P499" s="138"/>
      <c r="Q499" s="136" t="s">
        <v>30</v>
      </c>
      <c r="R499" s="137">
        <v>2</v>
      </c>
      <c r="S499" s="38"/>
    </row>
    <row r="500" spans="3:19">
      <c r="C500" s="32" t="s">
        <v>589</v>
      </c>
      <c r="D500" s="35" t="s">
        <v>537</v>
      </c>
      <c r="E500" s="36" t="s">
        <v>577</v>
      </c>
      <c r="F500" s="56" t="s">
        <v>28</v>
      </c>
      <c r="G500" s="59" t="s">
        <v>28</v>
      </c>
      <c r="H500" s="57">
        <v>0</v>
      </c>
      <c r="I500" s="59">
        <v>-5</v>
      </c>
      <c r="K500" s="136"/>
      <c r="L500" s="119" t="s">
        <v>29</v>
      </c>
      <c r="M500" s="137"/>
      <c r="N500" s="136"/>
      <c r="O500" s="119" t="s">
        <v>30</v>
      </c>
      <c r="P500" s="138"/>
      <c r="Q500" s="136" t="s">
        <v>30</v>
      </c>
      <c r="R500" s="137">
        <v>2</v>
      </c>
      <c r="S500" s="38"/>
    </row>
    <row r="501" spans="3:19">
      <c r="C501" s="32" t="s">
        <v>590</v>
      </c>
      <c r="D501" s="35" t="s">
        <v>537</v>
      </c>
      <c r="E501" s="36" t="s">
        <v>577</v>
      </c>
      <c r="F501" s="56" t="s">
        <v>28</v>
      </c>
      <c r="G501" s="59" t="s">
        <v>28</v>
      </c>
      <c r="H501" s="57">
        <v>0</v>
      </c>
      <c r="I501" s="36">
        <v>-4</v>
      </c>
      <c r="K501" s="136"/>
      <c r="L501" s="119" t="s">
        <v>29</v>
      </c>
      <c r="M501" s="137"/>
      <c r="N501" s="136" t="s">
        <v>30</v>
      </c>
      <c r="O501" s="119"/>
      <c r="P501" s="138"/>
      <c r="Q501" s="136" t="s">
        <v>30</v>
      </c>
      <c r="R501" s="137">
        <v>2</v>
      </c>
      <c r="S501" s="38"/>
    </row>
    <row r="502" spans="3:19">
      <c r="C502" s="32" t="s">
        <v>591</v>
      </c>
      <c r="D502" s="35" t="s">
        <v>537</v>
      </c>
      <c r="E502" s="36" t="s">
        <v>577</v>
      </c>
      <c r="F502" s="56" t="s">
        <v>28</v>
      </c>
      <c r="G502" s="59" t="s">
        <v>28</v>
      </c>
      <c r="H502" s="57">
        <v>0</v>
      </c>
      <c r="I502" s="59">
        <v>-5</v>
      </c>
      <c r="K502" s="136"/>
      <c r="L502" s="119" t="s">
        <v>29</v>
      </c>
      <c r="M502" s="137"/>
      <c r="N502" s="136"/>
      <c r="O502" s="119" t="s">
        <v>30</v>
      </c>
      <c r="P502" s="138"/>
      <c r="Q502" s="136" t="s">
        <v>30</v>
      </c>
      <c r="R502" s="137">
        <v>2</v>
      </c>
      <c r="S502" s="38"/>
    </row>
    <row r="503" spans="3:19">
      <c r="C503" s="32" t="s">
        <v>592</v>
      </c>
      <c r="D503" s="35" t="s">
        <v>537</v>
      </c>
      <c r="E503" s="36" t="s">
        <v>577</v>
      </c>
      <c r="F503" s="56" t="s">
        <v>28</v>
      </c>
      <c r="G503" s="59" t="s">
        <v>28</v>
      </c>
      <c r="H503" s="57">
        <v>0</v>
      </c>
      <c r="I503" s="59">
        <v>-4</v>
      </c>
      <c r="K503" s="136"/>
      <c r="L503" s="119" t="s">
        <v>29</v>
      </c>
      <c r="M503" s="137"/>
      <c r="N503" s="136" t="s">
        <v>30</v>
      </c>
      <c r="O503" s="119"/>
      <c r="P503" s="138"/>
      <c r="Q503" s="136" t="s">
        <v>30</v>
      </c>
      <c r="R503" s="137">
        <v>2</v>
      </c>
      <c r="S503" s="38"/>
    </row>
    <row r="504" spans="3:19">
      <c r="C504" s="32" t="s">
        <v>593</v>
      </c>
      <c r="D504" s="35" t="s">
        <v>537</v>
      </c>
      <c r="E504" s="36" t="s">
        <v>577</v>
      </c>
      <c r="F504" s="56" t="s">
        <v>28</v>
      </c>
      <c r="G504" s="59" t="s">
        <v>28</v>
      </c>
      <c r="H504" s="57">
        <v>0</v>
      </c>
      <c r="I504" s="59">
        <v>-5</v>
      </c>
      <c r="K504" s="136"/>
      <c r="L504" s="119" t="s">
        <v>29</v>
      </c>
      <c r="M504" s="137"/>
      <c r="N504" s="136"/>
      <c r="O504" s="119" t="s">
        <v>30</v>
      </c>
      <c r="P504" s="138"/>
      <c r="Q504" s="136" t="s">
        <v>30</v>
      </c>
      <c r="R504" s="137">
        <v>2</v>
      </c>
      <c r="S504" s="38"/>
    </row>
    <row r="505" spans="3:19">
      <c r="C505" s="32" t="s">
        <v>594</v>
      </c>
      <c r="D505" s="35" t="s">
        <v>537</v>
      </c>
      <c r="E505" s="36" t="s">
        <v>577</v>
      </c>
      <c r="F505" s="56" t="s">
        <v>28</v>
      </c>
      <c r="G505" s="59" t="s">
        <v>28</v>
      </c>
      <c r="H505" s="57">
        <v>0</v>
      </c>
      <c r="I505" s="59">
        <v>-5</v>
      </c>
      <c r="K505" s="136"/>
      <c r="L505" s="119" t="s">
        <v>29</v>
      </c>
      <c r="M505" s="137"/>
      <c r="N505" s="136"/>
      <c r="O505" s="119" t="s">
        <v>30</v>
      </c>
      <c r="P505" s="138"/>
      <c r="Q505" s="136" t="s">
        <v>30</v>
      </c>
      <c r="R505" s="137">
        <v>2</v>
      </c>
      <c r="S505" s="38"/>
    </row>
    <row r="506" spans="3:19">
      <c r="C506" s="32" t="s">
        <v>595</v>
      </c>
      <c r="D506" s="35" t="s">
        <v>537</v>
      </c>
      <c r="E506" s="36" t="s">
        <v>577</v>
      </c>
      <c r="F506" s="56" t="s">
        <v>28</v>
      </c>
      <c r="G506" s="59" t="s">
        <v>28</v>
      </c>
      <c r="H506" s="57">
        <v>-5</v>
      </c>
      <c r="I506" s="59">
        <v>-5</v>
      </c>
      <c r="K506" s="136"/>
      <c r="L506" s="119" t="s">
        <v>29</v>
      </c>
      <c r="M506" s="137"/>
      <c r="N506" s="136"/>
      <c r="O506" s="119" t="s">
        <v>30</v>
      </c>
      <c r="P506" s="138"/>
      <c r="Q506" s="136" t="s">
        <v>17</v>
      </c>
      <c r="R506" s="137">
        <v>2</v>
      </c>
      <c r="S506" s="38"/>
    </row>
    <row r="507" spans="3:19" ht="16.5" thickBot="1">
      <c r="C507" s="39" t="s">
        <v>596</v>
      </c>
      <c r="D507" s="42" t="s">
        <v>537</v>
      </c>
      <c r="E507" s="44" t="s">
        <v>577</v>
      </c>
      <c r="F507" s="60" t="s">
        <v>28</v>
      </c>
      <c r="G507" s="63" t="s">
        <v>28</v>
      </c>
      <c r="H507" s="61">
        <v>-5</v>
      </c>
      <c r="I507" s="63">
        <v>-5</v>
      </c>
      <c r="K507" s="143"/>
      <c r="L507" s="145" t="s">
        <v>29</v>
      </c>
      <c r="M507" s="144"/>
      <c r="N507" s="143"/>
      <c r="O507" s="145" t="s">
        <v>30</v>
      </c>
      <c r="P507" s="146"/>
      <c r="Q507" s="143" t="s">
        <v>17</v>
      </c>
      <c r="R507" s="144">
        <v>2</v>
      </c>
      <c r="S507" s="49"/>
    </row>
    <row r="508" spans="3:19" ht="16.5" thickBot="1">
      <c r="C508" s="14"/>
      <c r="D508" s="14"/>
      <c r="E508" s="14"/>
      <c r="F508" s="117"/>
      <c r="G508" s="117"/>
      <c r="H508" s="117"/>
      <c r="I508" s="117"/>
      <c r="S508" s="151"/>
    </row>
    <row r="509" spans="3:19" ht="16.5" thickBot="1">
      <c r="C509" s="14"/>
      <c r="D509" s="14"/>
      <c r="E509" s="294"/>
      <c r="F509" s="295"/>
      <c r="G509" s="230" t="s">
        <v>597</v>
      </c>
      <c r="H509" s="231" t="s">
        <v>598</v>
      </c>
      <c r="I509" s="232" t="s">
        <v>599</v>
      </c>
      <c r="S509" s="151"/>
    </row>
    <row r="510" spans="3:19" ht="16.5" thickBot="1">
      <c r="E510" s="288" t="s">
        <v>28</v>
      </c>
      <c r="F510" s="297"/>
      <c r="G510" s="165">
        <f>COUNTIF(G7:G507,"TP")</f>
        <v>264</v>
      </c>
      <c r="H510" s="228"/>
      <c r="I510" s="225"/>
    </row>
    <row r="511" spans="3:19" ht="16.5" thickBot="1">
      <c r="E511" s="300" t="s">
        <v>16</v>
      </c>
      <c r="F511" s="301"/>
      <c r="G511" s="165">
        <f>COUNTIF(G7:G507,"TN")</f>
        <v>182</v>
      </c>
      <c r="H511" s="228"/>
      <c r="I511" s="225"/>
    </row>
    <row r="512" spans="3:19">
      <c r="E512" s="300" t="s">
        <v>350</v>
      </c>
      <c r="F512" s="301"/>
      <c r="G512" s="165">
        <f>COUNTIF(G7:G507,"FN")</f>
        <v>4</v>
      </c>
      <c r="H512" s="228"/>
      <c r="I512" s="225"/>
    </row>
    <row r="513" spans="5:9">
      <c r="E513" s="290" t="s">
        <v>600</v>
      </c>
      <c r="F513" s="291"/>
      <c r="G513" s="227">
        <v>263</v>
      </c>
      <c r="H513" s="227"/>
      <c r="I513" s="224"/>
    </row>
    <row r="514" spans="5:9">
      <c r="E514" s="298" t="s">
        <v>601</v>
      </c>
      <c r="F514" s="299"/>
      <c r="G514" s="228"/>
      <c r="H514" s="228" t="s">
        <v>330</v>
      </c>
      <c r="I514" s="225">
        <f>COUNTIF(I7:I507,-1)</f>
        <v>11</v>
      </c>
    </row>
    <row r="515" spans="5:9">
      <c r="E515" s="298" t="s">
        <v>602</v>
      </c>
      <c r="F515" s="299"/>
      <c r="G515" s="228"/>
      <c r="H515" s="228">
        <f>COUNTIF(H7:H507,-4)</f>
        <v>28</v>
      </c>
      <c r="I515" s="225">
        <f>COUNTIF(I7:I507,-4)</f>
        <v>93</v>
      </c>
    </row>
    <row r="516" spans="5:9">
      <c r="E516" s="290" t="s">
        <v>603</v>
      </c>
      <c r="F516" s="291"/>
      <c r="G516" s="227"/>
      <c r="H516" s="227">
        <f>COUNTIF(H7:H507,-5)</f>
        <v>122</v>
      </c>
      <c r="I516" s="224">
        <f>COUNTIF(I7:I507,-5)</f>
        <v>77</v>
      </c>
    </row>
    <row r="517" spans="5:9">
      <c r="E517" s="290" t="s">
        <v>604</v>
      </c>
      <c r="F517" s="291"/>
      <c r="G517" s="227"/>
      <c r="H517" s="227">
        <f>COUNTIF(H7:H507,-6)</f>
        <v>38</v>
      </c>
      <c r="I517" s="224">
        <f>COUNTIF(I7:I507,-6)</f>
        <v>3</v>
      </c>
    </row>
    <row r="518" spans="5:9">
      <c r="E518" s="290" t="s">
        <v>605</v>
      </c>
      <c r="F518" s="291"/>
      <c r="G518" s="227"/>
      <c r="H518" s="227">
        <f>COUNTIF(H7:H507,"-4/-5")</f>
        <v>11</v>
      </c>
      <c r="I518" s="224">
        <f>COUNTIF(I7:I507,"-4/-5")</f>
        <v>8</v>
      </c>
    </row>
    <row r="519" spans="5:9" ht="16.5" thickBot="1">
      <c r="E519" s="292" t="s">
        <v>606</v>
      </c>
      <c r="F519" s="293"/>
      <c r="G519" s="229"/>
      <c r="H519" s="229">
        <f>COUNTIF(H7:H507,"-5/-6")</f>
        <v>3</v>
      </c>
      <c r="I519" s="226">
        <f>COUNTIF(I7:I507,"-5/-6")</f>
        <v>0</v>
      </c>
    </row>
    <row r="520" spans="5:9">
      <c r="E520" s="296"/>
      <c r="F520" s="296"/>
      <c r="H520" s="14">
        <f>SUM(H515:H519)</f>
        <v>202</v>
      </c>
      <c r="I520" s="14">
        <f>SUM(I515:I519)</f>
        <v>181</v>
      </c>
    </row>
    <row r="521" spans="5:9">
      <c r="E521" s="296"/>
      <c r="F521" s="296"/>
    </row>
    <row r="522" spans="5:9">
      <c r="E522" s="296"/>
      <c r="F522" s="296"/>
    </row>
  </sheetData>
  <mergeCells count="140">
    <mergeCell ref="E518:F518"/>
    <mergeCell ref="E519:F519"/>
    <mergeCell ref="E509:F509"/>
    <mergeCell ref="E520:F520"/>
    <mergeCell ref="E521:F521"/>
    <mergeCell ref="E522:F522"/>
    <mergeCell ref="H453:I453"/>
    <mergeCell ref="H481:I481"/>
    <mergeCell ref="F229:G229"/>
    <mergeCell ref="E510:F510"/>
    <mergeCell ref="E513:F513"/>
    <mergeCell ref="E515:F515"/>
    <mergeCell ref="E516:F516"/>
    <mergeCell ref="E517:F517"/>
    <mergeCell ref="F453:G453"/>
    <mergeCell ref="E511:F511"/>
    <mergeCell ref="E512:F512"/>
    <mergeCell ref="E514:F514"/>
    <mergeCell ref="R481:R482"/>
    <mergeCell ref="S481:S482"/>
    <mergeCell ref="F481:G481"/>
    <mergeCell ref="K481:M481"/>
    <mergeCell ref="N481:P481"/>
    <mergeCell ref="Q481:Q482"/>
    <mergeCell ref="H5:I5"/>
    <mergeCell ref="H33:I33"/>
    <mergeCell ref="H61:I61"/>
    <mergeCell ref="H89:I89"/>
    <mergeCell ref="H117:I117"/>
    <mergeCell ref="H145:I145"/>
    <mergeCell ref="H173:I173"/>
    <mergeCell ref="H201:I201"/>
    <mergeCell ref="H229:I229"/>
    <mergeCell ref="H257:I257"/>
    <mergeCell ref="H285:I285"/>
    <mergeCell ref="H313:I313"/>
    <mergeCell ref="H341:I341"/>
    <mergeCell ref="H369:I369"/>
    <mergeCell ref="H397:I397"/>
    <mergeCell ref="H425:I425"/>
    <mergeCell ref="R397:R398"/>
    <mergeCell ref="S397:S398"/>
    <mergeCell ref="K453:M453"/>
    <mergeCell ref="N453:P453"/>
    <mergeCell ref="Q453:Q454"/>
    <mergeCell ref="R453:R454"/>
    <mergeCell ref="S453:S454"/>
    <mergeCell ref="F397:G397"/>
    <mergeCell ref="K397:M397"/>
    <mergeCell ref="N397:P397"/>
    <mergeCell ref="Q397:Q398"/>
    <mergeCell ref="S425:S426"/>
    <mergeCell ref="F425:G425"/>
    <mergeCell ref="K425:M425"/>
    <mergeCell ref="N425:P425"/>
    <mergeCell ref="Q425:Q426"/>
    <mergeCell ref="R425:R426"/>
    <mergeCell ref="R341:R342"/>
    <mergeCell ref="S341:S342"/>
    <mergeCell ref="F369:G369"/>
    <mergeCell ref="K369:M369"/>
    <mergeCell ref="N369:P369"/>
    <mergeCell ref="Q369:Q370"/>
    <mergeCell ref="R369:R370"/>
    <mergeCell ref="S369:S370"/>
    <mergeCell ref="F341:G341"/>
    <mergeCell ref="K341:M341"/>
    <mergeCell ref="N341:P341"/>
    <mergeCell ref="Q341:Q342"/>
    <mergeCell ref="R313:R314"/>
    <mergeCell ref="S313:S314"/>
    <mergeCell ref="F201:G201"/>
    <mergeCell ref="K201:M201"/>
    <mergeCell ref="N201:P201"/>
    <mergeCell ref="Q201:Q202"/>
    <mergeCell ref="R201:R202"/>
    <mergeCell ref="S201:S202"/>
    <mergeCell ref="F313:G313"/>
    <mergeCell ref="K313:M313"/>
    <mergeCell ref="N313:P313"/>
    <mergeCell ref="Q313:Q314"/>
    <mergeCell ref="R285:R286"/>
    <mergeCell ref="S285:S286"/>
    <mergeCell ref="K229:M229"/>
    <mergeCell ref="N229:P229"/>
    <mergeCell ref="Q229:Q230"/>
    <mergeCell ref="R229:R230"/>
    <mergeCell ref="S229:S230"/>
    <mergeCell ref="F285:G285"/>
    <mergeCell ref="K285:M285"/>
    <mergeCell ref="N285:P285"/>
    <mergeCell ref="Q285:Q286"/>
    <mergeCell ref="R257:R258"/>
    <mergeCell ref="F5:G5"/>
    <mergeCell ref="K5:M5"/>
    <mergeCell ref="N5:P5"/>
    <mergeCell ref="Q5:Q6"/>
    <mergeCell ref="R5:R6"/>
    <mergeCell ref="S5:S6"/>
    <mergeCell ref="F257:G257"/>
    <mergeCell ref="K257:M257"/>
    <mergeCell ref="N257:P257"/>
    <mergeCell ref="Q257:Q258"/>
    <mergeCell ref="R145:R146"/>
    <mergeCell ref="S145:S146"/>
    <mergeCell ref="F173:G173"/>
    <mergeCell ref="K173:M173"/>
    <mergeCell ref="N173:P173"/>
    <mergeCell ref="Q173:Q174"/>
    <mergeCell ref="R173:R174"/>
    <mergeCell ref="S173:S174"/>
    <mergeCell ref="F145:G145"/>
    <mergeCell ref="K145:M145"/>
    <mergeCell ref="N145:P145"/>
    <mergeCell ref="Q145:Q146"/>
    <mergeCell ref="R89:R90"/>
    <mergeCell ref="F117:G117"/>
    <mergeCell ref="K117:M117"/>
    <mergeCell ref="N117:P117"/>
    <mergeCell ref="Q117:Q118"/>
    <mergeCell ref="R117:R118"/>
    <mergeCell ref="S117:S118"/>
    <mergeCell ref="R61:R62"/>
    <mergeCell ref="S61:S62"/>
    <mergeCell ref="S257:S258"/>
    <mergeCell ref="S33:S34"/>
    <mergeCell ref="R33:R34"/>
    <mergeCell ref="S89:S90"/>
    <mergeCell ref="F61:G61"/>
    <mergeCell ref="K61:M61"/>
    <mergeCell ref="N61:P61"/>
    <mergeCell ref="F33:G33"/>
    <mergeCell ref="Q33:Q34"/>
    <mergeCell ref="Q61:Q62"/>
    <mergeCell ref="F89:G89"/>
    <mergeCell ref="K89:M89"/>
    <mergeCell ref="N89:P89"/>
    <mergeCell ref="Q89:Q90"/>
    <mergeCell ref="N33:P33"/>
    <mergeCell ref="K33:M33"/>
  </mergeCells>
  <phoneticPr fontId="15" type="noConversion"/>
  <conditionalFormatting sqref="G187">
    <cfRule type="containsText" dxfId="1" priority="1" operator="containsText" text="TN">
      <formula>NOT(ISERROR(SEARCH("TN",G187)))</formula>
    </cfRule>
    <cfRule type="cellIs" dxfId="0" priority="2" operator="equal">
      <formula>$G$175</formula>
    </cfRule>
  </conditionalFormatting>
  <pageMargins left="0.7" right="0.7" top="0.75" bottom="0.75" header="0.3" footer="0.3"/>
  <headerFooter>
    <oddHeader>&amp;R&amp;"Calibri"&amp;12&amp;K000000 Unclassified /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 xsi:nil="true"/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6A687C-BCF5-4BC2-AD33-40464E14A3C8}"/>
</file>

<file path=customXml/itemProps2.xml><?xml version="1.0" encoding="utf-8"?>
<ds:datastoreItem xmlns:ds="http://schemas.openxmlformats.org/officeDocument/2006/customXml" ds:itemID="{AC5BE4C6-4888-4BA9-BA90-E791D0BD728F}"/>
</file>

<file path=customXml/itemProps3.xml><?xml version="1.0" encoding="utf-8"?>
<ds:datastoreItem xmlns:ds="http://schemas.openxmlformats.org/officeDocument/2006/customXml" ds:itemID="{6D83EDD0-54B0-4237-9A10-D96CD5685C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HC-PHAC - SC-ASPC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Plante, Daniel (HC/SC)</dc:creator>
  <cp:keywords/>
  <dc:description/>
  <cp:lastModifiedBy>Deschênes, Mylène (CFIA/ACIA)</cp:lastModifiedBy>
  <cp:revision/>
  <dcterms:created xsi:type="dcterms:W3CDTF">2025-07-02T17:09:29Z</dcterms:created>
  <dcterms:modified xsi:type="dcterms:W3CDTF">2025-09-20T19:36:36Z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2025-07-02T18:18:32Z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46728dc1-a171-4b9f-b7df-adf8876d520e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  <property fmtid="{D5CDD505-2E9C-101B-9397-08002B2CF9AE}" pid="10" name="Archival">
    <vt:lpwstr/>
  </property>
  <property fmtid="{D5CDD505-2E9C-101B-9397-08002B2CF9AE}" pid="11" name="Fiscal_x0020_Year">
    <vt:lpwstr/>
  </property>
  <property fmtid="{D5CDD505-2E9C-101B-9397-08002B2CF9AE}" pid="12" name="MediaServiceImageTags">
    <vt:lpwstr/>
  </property>
  <property fmtid="{D5CDD505-2E9C-101B-9397-08002B2CF9AE}" pid="13" name="Accountability">
    <vt:lpwstr>3;#Laboratories|ecf3c7b8-7787-40a2-ac5b-c0435af29266</vt:lpwstr>
  </property>
  <property fmtid="{D5CDD505-2E9C-101B-9397-08002B2CF9AE}" pid="14" name="ContentTypeId">
    <vt:lpwstr>0x010100761589C1FC759D4AA60564C8F3842147</vt:lpwstr>
  </property>
  <property fmtid="{D5CDD505-2E9C-101B-9397-08002B2CF9AE}" pid="15" name="Program">
    <vt:lpwstr>2;#Laboratory science leadership and services|374f136d-90b0-4bc2-af38-50de5dc5d5ad</vt:lpwstr>
  </property>
  <property fmtid="{D5CDD505-2E9C-101B-9397-08002B2CF9AE}" pid="16" name="Document-Status">
    <vt:lpwstr>1;#Active|b3c4d83a-10bd-4776-b251-f379e1cb284c</vt:lpwstr>
  </property>
  <property fmtid="{D5CDD505-2E9C-101B-9397-08002B2CF9AE}" pid="17" name="Document_x002d_Status">
    <vt:lpwstr>1;#Active|b3c4d83a-10bd-4776-b251-f379e1cb284c</vt:lpwstr>
  </property>
  <property fmtid="{D5CDD505-2E9C-101B-9397-08002B2CF9AE}" pid="18" name="Security_x0020_Level">
    <vt:lpwstr/>
  </property>
  <property fmtid="{D5CDD505-2E9C-101B-9397-08002B2CF9AE}" pid="19" name="Security Level">
    <vt:lpwstr/>
  </property>
  <property fmtid="{D5CDD505-2E9C-101B-9397-08002B2CF9AE}" pid="20" name="lcf76f155ced4ddcb4097134ff3c332f">
    <vt:lpwstr/>
  </property>
  <property fmtid="{D5CDD505-2E9C-101B-9397-08002B2CF9AE}" pid="21" name="Fiscal Year">
    <vt:lpwstr/>
  </property>
  <property fmtid="{D5CDD505-2E9C-101B-9397-08002B2CF9AE}" pid="22" name="_dlc_DocIdItemGuid">
    <vt:lpwstr>763545e7-1848-4276-b2d8-c5ef75a244ce</vt:lpwstr>
  </property>
</Properties>
</file>