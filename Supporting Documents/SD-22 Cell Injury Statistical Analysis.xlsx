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21" documentId="13_ncr:1_{6154AABE-EE01-4AF6-AE20-B1962FB46940}" xr6:coauthVersionLast="47" xr6:coauthVersionMax="47" xr10:uidLastSave="{139AA12C-AFBA-4167-BFD5-97E858A6AF7A}"/>
  <bookViews>
    <workbookView xWindow="-120" yWindow="-16320" windowWidth="29040" windowHeight="15720" firstSheet="1" activeTab="1" xr2:uid="{7D3E5023-F66D-4FD0-BCDB-CBC32489CCE8}"/>
  </bookViews>
  <sheets>
    <sheet name="1. POD" sheetId="1" r:id="rId1"/>
    <sheet name="2. Chi Squar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5" l="1"/>
  <c r="R40" i="5"/>
  <c r="M40" i="5"/>
  <c r="L40" i="5"/>
  <c r="N40" i="5" s="1"/>
  <c r="S38" i="5" s="1"/>
  <c r="T38" i="5" s="1"/>
  <c r="R39" i="5"/>
  <c r="N39" i="5"/>
  <c r="S41" i="5" s="1"/>
  <c r="R38" i="5"/>
  <c r="N38" i="5"/>
  <c r="S39" i="5" s="1"/>
  <c r="R35" i="5"/>
  <c r="S34" i="5"/>
  <c r="T34" i="5" s="1"/>
  <c r="R34" i="5"/>
  <c r="N34" i="5"/>
  <c r="M34" i="5"/>
  <c r="L34" i="5"/>
  <c r="S33" i="5"/>
  <c r="R33" i="5"/>
  <c r="T33" i="5" s="1"/>
  <c r="N33" i="5"/>
  <c r="S35" i="5" s="1"/>
  <c r="S32" i="5"/>
  <c r="T32" i="5" s="1"/>
  <c r="R32" i="5"/>
  <c r="N32" i="5"/>
  <c r="R28" i="5"/>
  <c r="R27" i="5"/>
  <c r="M27" i="5"/>
  <c r="L27" i="5"/>
  <c r="R26" i="5"/>
  <c r="N26" i="5"/>
  <c r="R25" i="5"/>
  <c r="N25" i="5"/>
  <c r="R22" i="5"/>
  <c r="R21" i="5"/>
  <c r="N21" i="5"/>
  <c r="S21" i="5" s="1"/>
  <c r="M21" i="5"/>
  <c r="L21" i="5"/>
  <c r="R20" i="5"/>
  <c r="N20" i="5"/>
  <c r="S22" i="5" s="1"/>
  <c r="T22" i="5" s="1"/>
  <c r="R19" i="5"/>
  <c r="N19" i="5"/>
  <c r="S19" i="5" s="1"/>
  <c r="T19" i="5" s="1"/>
  <c r="S15" i="5"/>
  <c r="R15" i="5"/>
  <c r="T15" i="5" s="1"/>
  <c r="R14" i="5"/>
  <c r="N14" i="5"/>
  <c r="M14" i="5"/>
  <c r="L14" i="5"/>
  <c r="S13" i="5"/>
  <c r="T13" i="5" s="1"/>
  <c r="R13" i="5"/>
  <c r="N13" i="5"/>
  <c r="S14" i="5" s="1"/>
  <c r="T14" i="5" s="1"/>
  <c r="R12" i="5"/>
  <c r="N12" i="5"/>
  <c r="S12" i="5" s="1"/>
  <c r="T12" i="5" s="1"/>
  <c r="W11" i="5" s="1"/>
  <c r="W13" i="5" s="1"/>
  <c r="R9" i="5"/>
  <c r="R8" i="5"/>
  <c r="M8" i="5"/>
  <c r="L8" i="5"/>
  <c r="N8" i="5" s="1"/>
  <c r="R7" i="5"/>
  <c r="N7" i="5"/>
  <c r="S8" i="5" s="1"/>
  <c r="T8" i="5" s="1"/>
  <c r="R6" i="5"/>
  <c r="N6" i="5"/>
  <c r="S7" i="5" s="1"/>
  <c r="T7" i="5" s="1"/>
  <c r="T21" i="5" l="1"/>
  <c r="S27" i="5"/>
  <c r="T27" i="5" s="1"/>
  <c r="S26" i="5"/>
  <c r="S9" i="5"/>
  <c r="T9" i="5" s="1"/>
  <c r="T25" i="5"/>
  <c r="W24" i="5" s="1"/>
  <c r="W26" i="5" s="1"/>
  <c r="T39" i="5"/>
  <c r="T40" i="5"/>
  <c r="W37" i="5" s="1"/>
  <c r="W39" i="5" s="1"/>
  <c r="T26" i="5"/>
  <c r="T35" i="5"/>
  <c r="W31" i="5" s="1"/>
  <c r="W33" i="5" s="1"/>
  <c r="T41" i="5"/>
  <c r="S6" i="5"/>
  <c r="T6" i="5" s="1"/>
  <c r="W5" i="5" s="1"/>
  <c r="W7" i="5" s="1"/>
  <c r="S20" i="5"/>
  <c r="T20" i="5" s="1"/>
  <c r="W18" i="5" s="1"/>
  <c r="W20" i="5" s="1"/>
  <c r="N27" i="5"/>
  <c r="S28" i="5" s="1"/>
  <c r="T28" i="5" s="1"/>
  <c r="S40" i="5"/>
  <c r="S25" i="5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F493" i="1"/>
  <c r="M493" i="1" s="1"/>
  <c r="C493" i="1"/>
  <c r="J493" i="1" s="1"/>
  <c r="F492" i="1"/>
  <c r="M492" i="1" s="1"/>
  <c r="C492" i="1"/>
  <c r="K491" i="1"/>
  <c r="J491" i="1"/>
  <c r="F491" i="1"/>
  <c r="M491" i="1" s="1"/>
  <c r="C491" i="1"/>
  <c r="J490" i="1"/>
  <c r="F490" i="1"/>
  <c r="M490" i="1" s="1"/>
  <c r="C490" i="1"/>
  <c r="F489" i="1"/>
  <c r="M489" i="1" s="1"/>
  <c r="C489" i="1"/>
  <c r="J489" i="1" s="1"/>
  <c r="F488" i="1"/>
  <c r="M488" i="1" s="1"/>
  <c r="C488" i="1"/>
  <c r="J488" i="1" s="1"/>
  <c r="J487" i="1"/>
  <c r="F487" i="1"/>
  <c r="M487" i="1" s="1"/>
  <c r="C487" i="1"/>
  <c r="J486" i="1"/>
  <c r="F486" i="1"/>
  <c r="M486" i="1" s="1"/>
  <c r="C486" i="1"/>
  <c r="F485" i="1"/>
  <c r="M485" i="1" s="1"/>
  <c r="C485" i="1"/>
  <c r="J485" i="1" s="1"/>
  <c r="F484" i="1"/>
  <c r="M484" i="1" s="1"/>
  <c r="C484" i="1"/>
  <c r="J484" i="1" s="1"/>
  <c r="J483" i="1"/>
  <c r="F483" i="1"/>
  <c r="M483" i="1" s="1"/>
  <c r="C483" i="1"/>
  <c r="J482" i="1"/>
  <c r="F482" i="1"/>
  <c r="M482" i="1" s="1"/>
  <c r="C482" i="1"/>
  <c r="F481" i="1"/>
  <c r="M481" i="1" s="1"/>
  <c r="C481" i="1"/>
  <c r="J481" i="1" s="1"/>
  <c r="F480" i="1"/>
  <c r="M480" i="1" s="1"/>
  <c r="C480" i="1"/>
  <c r="J480" i="1" s="1"/>
  <c r="J479" i="1"/>
  <c r="F479" i="1"/>
  <c r="M479" i="1" s="1"/>
  <c r="C479" i="1"/>
  <c r="J478" i="1"/>
  <c r="F478" i="1"/>
  <c r="M478" i="1" s="1"/>
  <c r="C478" i="1"/>
  <c r="F477" i="1"/>
  <c r="M477" i="1" s="1"/>
  <c r="C477" i="1"/>
  <c r="J477" i="1" s="1"/>
  <c r="F476" i="1"/>
  <c r="M476" i="1" s="1"/>
  <c r="C476" i="1"/>
  <c r="F475" i="1"/>
  <c r="M475" i="1" s="1"/>
  <c r="C475" i="1"/>
  <c r="F474" i="1"/>
  <c r="C474" i="1"/>
  <c r="J473" i="1"/>
  <c r="F473" i="1"/>
  <c r="C473" i="1"/>
  <c r="F471" i="1"/>
  <c r="M471" i="1" s="1"/>
  <c r="C471" i="1"/>
  <c r="F470" i="1"/>
  <c r="M470" i="1" s="1"/>
  <c r="C470" i="1"/>
  <c r="F469" i="1"/>
  <c r="M469" i="1" s="1"/>
  <c r="C469" i="1"/>
  <c r="I469" i="1" s="1"/>
  <c r="F468" i="1"/>
  <c r="M468" i="1" s="1"/>
  <c r="C468" i="1"/>
  <c r="I468" i="1" s="1"/>
  <c r="F467" i="1"/>
  <c r="M467" i="1" s="1"/>
  <c r="C467" i="1"/>
  <c r="I467" i="1" s="1"/>
  <c r="F466" i="1"/>
  <c r="M466" i="1" s="1"/>
  <c r="C466" i="1"/>
  <c r="F465" i="1"/>
  <c r="M465" i="1" s="1"/>
  <c r="C465" i="1"/>
  <c r="I465" i="1" s="1"/>
  <c r="J464" i="1"/>
  <c r="F464" i="1"/>
  <c r="M464" i="1" s="1"/>
  <c r="C464" i="1"/>
  <c r="I464" i="1" s="1"/>
  <c r="F463" i="1"/>
  <c r="L463" i="1" s="1"/>
  <c r="C463" i="1"/>
  <c r="I463" i="1" s="1"/>
  <c r="M462" i="1"/>
  <c r="F462" i="1"/>
  <c r="L462" i="1" s="1"/>
  <c r="C462" i="1"/>
  <c r="M461" i="1"/>
  <c r="F461" i="1"/>
  <c r="L461" i="1" s="1"/>
  <c r="C461" i="1"/>
  <c r="M460" i="1"/>
  <c r="F460" i="1"/>
  <c r="L460" i="1" s="1"/>
  <c r="C460" i="1"/>
  <c r="M459" i="1"/>
  <c r="F459" i="1"/>
  <c r="L459" i="1" s="1"/>
  <c r="C459" i="1"/>
  <c r="M458" i="1"/>
  <c r="F458" i="1"/>
  <c r="L458" i="1" s="1"/>
  <c r="C458" i="1"/>
  <c r="M457" i="1"/>
  <c r="F457" i="1"/>
  <c r="L457" i="1" s="1"/>
  <c r="C457" i="1"/>
  <c r="M456" i="1"/>
  <c r="F456" i="1"/>
  <c r="L456" i="1" s="1"/>
  <c r="C456" i="1"/>
  <c r="M455" i="1"/>
  <c r="F455" i="1"/>
  <c r="L455" i="1" s="1"/>
  <c r="C455" i="1"/>
  <c r="I455" i="1" s="1"/>
  <c r="J454" i="1"/>
  <c r="F454" i="1"/>
  <c r="L454" i="1" s="1"/>
  <c r="C454" i="1"/>
  <c r="I454" i="1" s="1"/>
  <c r="F453" i="1"/>
  <c r="L453" i="1" s="1"/>
  <c r="C453" i="1"/>
  <c r="F452" i="1"/>
  <c r="L452" i="1" s="1"/>
  <c r="C452" i="1"/>
  <c r="M451" i="1"/>
  <c r="F451" i="1"/>
  <c r="L451" i="1" s="1"/>
  <c r="C451" i="1"/>
  <c r="I451" i="1" s="1"/>
  <c r="F449" i="1"/>
  <c r="M449" i="1" s="1"/>
  <c r="C449" i="1"/>
  <c r="J449" i="1" s="1"/>
  <c r="F448" i="1"/>
  <c r="M448" i="1" s="1"/>
  <c r="C448" i="1"/>
  <c r="F447" i="1"/>
  <c r="M447" i="1" s="1"/>
  <c r="C447" i="1"/>
  <c r="F446" i="1"/>
  <c r="M446" i="1" s="1"/>
  <c r="C446" i="1"/>
  <c r="K445" i="1"/>
  <c r="F445" i="1"/>
  <c r="M445" i="1" s="1"/>
  <c r="C445" i="1"/>
  <c r="J445" i="1" s="1"/>
  <c r="F444" i="1"/>
  <c r="M444" i="1" s="1"/>
  <c r="C444" i="1"/>
  <c r="J444" i="1" s="1"/>
  <c r="F443" i="1"/>
  <c r="M443" i="1" s="1"/>
  <c r="C443" i="1"/>
  <c r="J443" i="1" s="1"/>
  <c r="F442" i="1"/>
  <c r="M442" i="1" s="1"/>
  <c r="C442" i="1"/>
  <c r="J442" i="1" s="1"/>
  <c r="F441" i="1"/>
  <c r="M441" i="1" s="1"/>
  <c r="C441" i="1"/>
  <c r="J441" i="1" s="1"/>
  <c r="F440" i="1"/>
  <c r="M440" i="1" s="1"/>
  <c r="C440" i="1"/>
  <c r="J440" i="1" s="1"/>
  <c r="F439" i="1"/>
  <c r="M439" i="1" s="1"/>
  <c r="C439" i="1"/>
  <c r="J439" i="1" s="1"/>
  <c r="F438" i="1"/>
  <c r="M438" i="1" s="1"/>
  <c r="C438" i="1"/>
  <c r="J438" i="1" s="1"/>
  <c r="K437" i="1"/>
  <c r="F437" i="1"/>
  <c r="M437" i="1" s="1"/>
  <c r="C437" i="1"/>
  <c r="J437" i="1" s="1"/>
  <c r="J436" i="1"/>
  <c r="F436" i="1"/>
  <c r="M436" i="1" s="1"/>
  <c r="C436" i="1"/>
  <c r="J435" i="1"/>
  <c r="F435" i="1"/>
  <c r="M435" i="1" s="1"/>
  <c r="C435" i="1"/>
  <c r="F434" i="1"/>
  <c r="M434" i="1" s="1"/>
  <c r="C434" i="1"/>
  <c r="J434" i="1" s="1"/>
  <c r="F433" i="1"/>
  <c r="M433" i="1" s="1"/>
  <c r="C433" i="1"/>
  <c r="J433" i="1" s="1"/>
  <c r="J432" i="1"/>
  <c r="F432" i="1"/>
  <c r="M432" i="1" s="1"/>
  <c r="C432" i="1"/>
  <c r="J431" i="1"/>
  <c r="F431" i="1"/>
  <c r="M431" i="1" s="1"/>
  <c r="C431" i="1"/>
  <c r="F430" i="1"/>
  <c r="C430" i="1"/>
  <c r="J430" i="1" s="1"/>
  <c r="F429" i="1"/>
  <c r="K429" i="1" s="1"/>
  <c r="C429" i="1"/>
  <c r="J429" i="1" s="1"/>
  <c r="F427" i="1"/>
  <c r="M427" i="1" s="1"/>
  <c r="C427" i="1"/>
  <c r="I427" i="1" s="1"/>
  <c r="F426" i="1"/>
  <c r="M426" i="1" s="1"/>
  <c r="C426" i="1"/>
  <c r="F425" i="1"/>
  <c r="M425" i="1" s="1"/>
  <c r="C425" i="1"/>
  <c r="I425" i="1" s="1"/>
  <c r="M424" i="1"/>
  <c r="J424" i="1"/>
  <c r="F424" i="1"/>
  <c r="L424" i="1" s="1"/>
  <c r="C424" i="1"/>
  <c r="I424" i="1" s="1"/>
  <c r="F423" i="1"/>
  <c r="L423" i="1" s="1"/>
  <c r="C423" i="1"/>
  <c r="I423" i="1" s="1"/>
  <c r="F422" i="1"/>
  <c r="C422" i="1"/>
  <c r="F421" i="1"/>
  <c r="C421" i="1"/>
  <c r="I421" i="1" s="1"/>
  <c r="J420" i="1"/>
  <c r="F420" i="1"/>
  <c r="C420" i="1"/>
  <c r="I420" i="1" s="1"/>
  <c r="F419" i="1"/>
  <c r="C419" i="1"/>
  <c r="I419" i="1" s="1"/>
  <c r="J418" i="1"/>
  <c r="F418" i="1"/>
  <c r="C418" i="1"/>
  <c r="I418" i="1" s="1"/>
  <c r="F417" i="1"/>
  <c r="K417" i="1" s="1"/>
  <c r="C417" i="1"/>
  <c r="I417" i="1" s="1"/>
  <c r="J416" i="1"/>
  <c r="F416" i="1"/>
  <c r="K416" i="1" s="1"/>
  <c r="C416" i="1"/>
  <c r="I416" i="1" s="1"/>
  <c r="F415" i="1"/>
  <c r="K415" i="1" s="1"/>
  <c r="C415" i="1"/>
  <c r="I415" i="1" s="1"/>
  <c r="F414" i="1"/>
  <c r="C414" i="1"/>
  <c r="J413" i="1"/>
  <c r="F413" i="1"/>
  <c r="C413" i="1"/>
  <c r="I413" i="1" s="1"/>
  <c r="J412" i="1"/>
  <c r="F412" i="1"/>
  <c r="C412" i="1"/>
  <c r="I412" i="1" s="1"/>
  <c r="F411" i="1"/>
  <c r="K411" i="1" s="1"/>
  <c r="C411" i="1"/>
  <c r="F410" i="1"/>
  <c r="C410" i="1"/>
  <c r="J409" i="1"/>
  <c r="F409" i="1"/>
  <c r="C409" i="1"/>
  <c r="I409" i="1" s="1"/>
  <c r="J408" i="1"/>
  <c r="F408" i="1"/>
  <c r="C408" i="1"/>
  <c r="I408" i="1" s="1"/>
  <c r="L407" i="1"/>
  <c r="J407" i="1"/>
  <c r="F407" i="1"/>
  <c r="K407" i="1" s="1"/>
  <c r="C407" i="1"/>
  <c r="I407" i="1" s="1"/>
  <c r="F405" i="1"/>
  <c r="M405" i="1" s="1"/>
  <c r="C405" i="1"/>
  <c r="F404" i="1"/>
  <c r="M404" i="1" s="1"/>
  <c r="C404" i="1"/>
  <c r="J404" i="1" s="1"/>
  <c r="F403" i="1"/>
  <c r="M403" i="1" s="1"/>
  <c r="C403" i="1"/>
  <c r="J403" i="1" s="1"/>
  <c r="F402" i="1"/>
  <c r="M402" i="1" s="1"/>
  <c r="C402" i="1"/>
  <c r="J402" i="1" s="1"/>
  <c r="F401" i="1"/>
  <c r="M401" i="1" s="1"/>
  <c r="C401" i="1"/>
  <c r="J401" i="1" s="1"/>
  <c r="F400" i="1"/>
  <c r="M400" i="1" s="1"/>
  <c r="C400" i="1"/>
  <c r="J400" i="1" s="1"/>
  <c r="F399" i="1"/>
  <c r="M399" i="1" s="1"/>
  <c r="C399" i="1"/>
  <c r="J399" i="1" s="1"/>
  <c r="F398" i="1"/>
  <c r="M398" i="1" s="1"/>
  <c r="C398" i="1"/>
  <c r="J398" i="1" s="1"/>
  <c r="F397" i="1"/>
  <c r="M397" i="1" s="1"/>
  <c r="C397" i="1"/>
  <c r="J397" i="1" s="1"/>
  <c r="F396" i="1"/>
  <c r="M396" i="1" s="1"/>
  <c r="C396" i="1"/>
  <c r="J396" i="1" s="1"/>
  <c r="F395" i="1"/>
  <c r="M395" i="1" s="1"/>
  <c r="C395" i="1"/>
  <c r="J395" i="1" s="1"/>
  <c r="F394" i="1"/>
  <c r="M394" i="1" s="1"/>
  <c r="C394" i="1"/>
  <c r="J394" i="1" s="1"/>
  <c r="F393" i="1"/>
  <c r="M393" i="1" s="1"/>
  <c r="C393" i="1"/>
  <c r="F392" i="1"/>
  <c r="M392" i="1" s="1"/>
  <c r="C392" i="1"/>
  <c r="J392" i="1" s="1"/>
  <c r="F391" i="1"/>
  <c r="M391" i="1" s="1"/>
  <c r="C391" i="1"/>
  <c r="J391" i="1" s="1"/>
  <c r="F390" i="1"/>
  <c r="M390" i="1" s="1"/>
  <c r="C390" i="1"/>
  <c r="J390" i="1" s="1"/>
  <c r="F389" i="1"/>
  <c r="M389" i="1" s="1"/>
  <c r="C389" i="1"/>
  <c r="F388" i="1"/>
  <c r="C388" i="1"/>
  <c r="J388" i="1" s="1"/>
  <c r="F387" i="1"/>
  <c r="K387" i="1" s="1"/>
  <c r="C387" i="1"/>
  <c r="J386" i="1"/>
  <c r="F386" i="1"/>
  <c r="C386" i="1"/>
  <c r="F385" i="1"/>
  <c r="K385" i="1" s="1"/>
  <c r="C385" i="1"/>
  <c r="F383" i="1"/>
  <c r="M383" i="1" s="1"/>
  <c r="C383" i="1"/>
  <c r="F382" i="1"/>
  <c r="M382" i="1" s="1"/>
  <c r="C382" i="1"/>
  <c r="F381" i="1"/>
  <c r="M381" i="1" s="1"/>
  <c r="C381" i="1"/>
  <c r="I381" i="1" s="1"/>
  <c r="F380" i="1"/>
  <c r="M380" i="1" s="1"/>
  <c r="C380" i="1"/>
  <c r="I380" i="1" s="1"/>
  <c r="F379" i="1"/>
  <c r="M379" i="1" s="1"/>
  <c r="C379" i="1"/>
  <c r="I379" i="1" s="1"/>
  <c r="F378" i="1"/>
  <c r="M378" i="1" s="1"/>
  <c r="C378" i="1"/>
  <c r="F377" i="1"/>
  <c r="M377" i="1" s="1"/>
  <c r="C377" i="1"/>
  <c r="J376" i="1"/>
  <c r="F376" i="1"/>
  <c r="M376" i="1" s="1"/>
  <c r="C376" i="1"/>
  <c r="I376" i="1" s="1"/>
  <c r="J375" i="1"/>
  <c r="F375" i="1"/>
  <c r="M375" i="1" s="1"/>
  <c r="C375" i="1"/>
  <c r="I375" i="1" s="1"/>
  <c r="F374" i="1"/>
  <c r="M374" i="1" s="1"/>
  <c r="C374" i="1"/>
  <c r="F373" i="1"/>
  <c r="K373" i="1" s="1"/>
  <c r="C373" i="1"/>
  <c r="L372" i="1"/>
  <c r="F372" i="1"/>
  <c r="K372" i="1" s="1"/>
  <c r="C372" i="1"/>
  <c r="F371" i="1"/>
  <c r="C371" i="1"/>
  <c r="F370" i="1"/>
  <c r="C370" i="1"/>
  <c r="F369" i="1"/>
  <c r="K369" i="1" s="1"/>
  <c r="C369" i="1"/>
  <c r="L368" i="1"/>
  <c r="F368" i="1"/>
  <c r="K368" i="1" s="1"/>
  <c r="C368" i="1"/>
  <c r="F367" i="1"/>
  <c r="C367" i="1"/>
  <c r="F366" i="1"/>
  <c r="C366" i="1"/>
  <c r="F365" i="1"/>
  <c r="K365" i="1" s="1"/>
  <c r="C365" i="1"/>
  <c r="I365" i="1" s="1"/>
  <c r="J364" i="1"/>
  <c r="F364" i="1"/>
  <c r="K364" i="1" s="1"/>
  <c r="C364" i="1"/>
  <c r="I364" i="1" s="1"/>
  <c r="F363" i="1"/>
  <c r="K363" i="1" s="1"/>
  <c r="C363" i="1"/>
  <c r="F361" i="1"/>
  <c r="M361" i="1" s="1"/>
  <c r="C361" i="1"/>
  <c r="I361" i="1" s="1"/>
  <c r="F360" i="1"/>
  <c r="M360" i="1" s="1"/>
  <c r="C360" i="1"/>
  <c r="I360" i="1" s="1"/>
  <c r="F359" i="1"/>
  <c r="M359" i="1" s="1"/>
  <c r="C359" i="1"/>
  <c r="J358" i="1"/>
  <c r="F358" i="1"/>
  <c r="M358" i="1" s="1"/>
  <c r="C358" i="1"/>
  <c r="I358" i="1" s="1"/>
  <c r="F357" i="1"/>
  <c r="K357" i="1" s="1"/>
  <c r="C357" i="1"/>
  <c r="I357" i="1" s="1"/>
  <c r="F356" i="1"/>
  <c r="K356" i="1" s="1"/>
  <c r="C356" i="1"/>
  <c r="L355" i="1"/>
  <c r="F355" i="1"/>
  <c r="K355" i="1" s="1"/>
  <c r="C355" i="1"/>
  <c r="F354" i="1"/>
  <c r="C354" i="1"/>
  <c r="F353" i="1"/>
  <c r="C353" i="1"/>
  <c r="I353" i="1" s="1"/>
  <c r="F352" i="1"/>
  <c r="C352" i="1"/>
  <c r="F351" i="1"/>
  <c r="K351" i="1" s="1"/>
  <c r="C351" i="1"/>
  <c r="I351" i="1" s="1"/>
  <c r="J350" i="1"/>
  <c r="F350" i="1"/>
  <c r="K350" i="1" s="1"/>
  <c r="C350" i="1"/>
  <c r="I350" i="1" s="1"/>
  <c r="J349" i="1"/>
  <c r="F349" i="1"/>
  <c r="C349" i="1"/>
  <c r="I349" i="1" s="1"/>
  <c r="F348" i="1"/>
  <c r="C348" i="1"/>
  <c r="I348" i="1" s="1"/>
  <c r="M347" i="1"/>
  <c r="L347" i="1"/>
  <c r="J347" i="1"/>
  <c r="F347" i="1"/>
  <c r="K347" i="1" s="1"/>
  <c r="C347" i="1"/>
  <c r="I347" i="1" s="1"/>
  <c r="M346" i="1"/>
  <c r="J346" i="1"/>
  <c r="F346" i="1"/>
  <c r="K346" i="1" s="1"/>
  <c r="C346" i="1"/>
  <c r="I346" i="1" s="1"/>
  <c r="J345" i="1"/>
  <c r="F345" i="1"/>
  <c r="K345" i="1" s="1"/>
  <c r="C345" i="1"/>
  <c r="I345" i="1" s="1"/>
  <c r="J344" i="1"/>
  <c r="F344" i="1"/>
  <c r="C344" i="1"/>
  <c r="I344" i="1" s="1"/>
  <c r="L343" i="1"/>
  <c r="F343" i="1"/>
  <c r="C343" i="1"/>
  <c r="I343" i="1" s="1"/>
  <c r="M342" i="1"/>
  <c r="L342" i="1"/>
  <c r="J342" i="1"/>
  <c r="F342" i="1"/>
  <c r="K342" i="1" s="1"/>
  <c r="C342" i="1"/>
  <c r="I342" i="1" s="1"/>
  <c r="M341" i="1"/>
  <c r="L341" i="1"/>
  <c r="F341" i="1"/>
  <c r="K341" i="1" s="1"/>
  <c r="C341" i="1"/>
  <c r="F339" i="1"/>
  <c r="M339" i="1" s="1"/>
  <c r="C339" i="1"/>
  <c r="F338" i="1"/>
  <c r="M338" i="1" s="1"/>
  <c r="C338" i="1"/>
  <c r="J338" i="1" s="1"/>
  <c r="F337" i="1"/>
  <c r="M337" i="1" s="1"/>
  <c r="C337" i="1"/>
  <c r="J337" i="1" s="1"/>
  <c r="J336" i="1"/>
  <c r="F336" i="1"/>
  <c r="C336" i="1"/>
  <c r="F335" i="1"/>
  <c r="M335" i="1" s="1"/>
  <c r="C335" i="1"/>
  <c r="J335" i="1" s="1"/>
  <c r="F334" i="1"/>
  <c r="M334" i="1" s="1"/>
  <c r="C334" i="1"/>
  <c r="J334" i="1" s="1"/>
  <c r="J333" i="1"/>
  <c r="F333" i="1"/>
  <c r="M333" i="1" s="1"/>
  <c r="C333" i="1"/>
  <c r="J332" i="1"/>
  <c r="F332" i="1"/>
  <c r="M332" i="1" s="1"/>
  <c r="C332" i="1"/>
  <c r="F331" i="1"/>
  <c r="M331" i="1" s="1"/>
  <c r="C331" i="1"/>
  <c r="J331" i="1" s="1"/>
  <c r="F330" i="1"/>
  <c r="M330" i="1" s="1"/>
  <c r="C330" i="1"/>
  <c r="J330" i="1" s="1"/>
  <c r="J329" i="1"/>
  <c r="F329" i="1"/>
  <c r="M329" i="1" s="1"/>
  <c r="C329" i="1"/>
  <c r="J328" i="1"/>
  <c r="F328" i="1"/>
  <c r="M328" i="1" s="1"/>
  <c r="C328" i="1"/>
  <c r="F327" i="1"/>
  <c r="M327" i="1" s="1"/>
  <c r="C327" i="1"/>
  <c r="J327" i="1" s="1"/>
  <c r="F326" i="1"/>
  <c r="M326" i="1" s="1"/>
  <c r="C326" i="1"/>
  <c r="J326" i="1" s="1"/>
  <c r="J325" i="1"/>
  <c r="F325" i="1"/>
  <c r="M325" i="1" s="1"/>
  <c r="C325" i="1"/>
  <c r="J324" i="1"/>
  <c r="F324" i="1"/>
  <c r="M324" i="1" s="1"/>
  <c r="C324" i="1"/>
  <c r="F323" i="1"/>
  <c r="M323" i="1" s="1"/>
  <c r="C323" i="1"/>
  <c r="J323" i="1" s="1"/>
  <c r="F322" i="1"/>
  <c r="M322" i="1" s="1"/>
  <c r="C322" i="1"/>
  <c r="J322" i="1" s="1"/>
  <c r="J321" i="1"/>
  <c r="F321" i="1"/>
  <c r="C321" i="1"/>
  <c r="K320" i="1"/>
  <c r="J320" i="1"/>
  <c r="F320" i="1"/>
  <c r="C320" i="1"/>
  <c r="F319" i="1"/>
  <c r="C319" i="1"/>
  <c r="F317" i="1"/>
  <c r="M317" i="1" s="1"/>
  <c r="C317" i="1"/>
  <c r="F316" i="1"/>
  <c r="M316" i="1" s="1"/>
  <c r="C316" i="1"/>
  <c r="J316" i="1" s="1"/>
  <c r="F315" i="1"/>
  <c r="M315" i="1" s="1"/>
  <c r="C315" i="1"/>
  <c r="F314" i="1"/>
  <c r="M314" i="1" s="1"/>
  <c r="C314" i="1"/>
  <c r="J314" i="1" s="1"/>
  <c r="F313" i="1"/>
  <c r="M313" i="1" s="1"/>
  <c r="C313" i="1"/>
  <c r="K312" i="1"/>
  <c r="J312" i="1"/>
  <c r="F312" i="1"/>
  <c r="M312" i="1" s="1"/>
  <c r="C312" i="1"/>
  <c r="J311" i="1"/>
  <c r="F311" i="1"/>
  <c r="M311" i="1" s="1"/>
  <c r="C311" i="1"/>
  <c r="F310" i="1"/>
  <c r="M310" i="1" s="1"/>
  <c r="C310" i="1"/>
  <c r="J310" i="1" s="1"/>
  <c r="F309" i="1"/>
  <c r="M309" i="1" s="1"/>
  <c r="C309" i="1"/>
  <c r="J309" i="1" s="1"/>
  <c r="J308" i="1"/>
  <c r="F308" i="1"/>
  <c r="M308" i="1" s="1"/>
  <c r="C308" i="1"/>
  <c r="K307" i="1"/>
  <c r="J307" i="1"/>
  <c r="F307" i="1"/>
  <c r="M307" i="1" s="1"/>
  <c r="C307" i="1"/>
  <c r="J306" i="1"/>
  <c r="F306" i="1"/>
  <c r="M306" i="1" s="1"/>
  <c r="C306" i="1"/>
  <c r="F305" i="1"/>
  <c r="M305" i="1" s="1"/>
  <c r="C305" i="1"/>
  <c r="F304" i="1"/>
  <c r="M304" i="1" s="1"/>
  <c r="C304" i="1"/>
  <c r="F303" i="1"/>
  <c r="C303" i="1"/>
  <c r="J302" i="1"/>
  <c r="F302" i="1"/>
  <c r="K302" i="1" s="1"/>
  <c r="C302" i="1"/>
  <c r="F301" i="1"/>
  <c r="C301" i="1"/>
  <c r="J301" i="1" s="1"/>
  <c r="F300" i="1"/>
  <c r="K300" i="1" s="1"/>
  <c r="C300" i="1"/>
  <c r="J300" i="1" s="1"/>
  <c r="F299" i="1"/>
  <c r="C299" i="1"/>
  <c r="J298" i="1"/>
  <c r="F298" i="1"/>
  <c r="K298" i="1" s="1"/>
  <c r="C298" i="1"/>
  <c r="F297" i="1"/>
  <c r="C297" i="1"/>
  <c r="J297" i="1" s="1"/>
  <c r="F295" i="1"/>
  <c r="M295" i="1" s="1"/>
  <c r="C295" i="1"/>
  <c r="F294" i="1"/>
  <c r="M294" i="1" s="1"/>
  <c r="C294" i="1"/>
  <c r="J294" i="1" s="1"/>
  <c r="F293" i="1"/>
  <c r="M293" i="1" s="1"/>
  <c r="C293" i="1"/>
  <c r="F292" i="1"/>
  <c r="M292" i="1" s="1"/>
  <c r="C292" i="1"/>
  <c r="J292" i="1" s="1"/>
  <c r="F291" i="1"/>
  <c r="M291" i="1" s="1"/>
  <c r="C291" i="1"/>
  <c r="F290" i="1"/>
  <c r="M290" i="1" s="1"/>
  <c r="C290" i="1"/>
  <c r="J290" i="1" s="1"/>
  <c r="F289" i="1"/>
  <c r="M289" i="1" s="1"/>
  <c r="C289" i="1"/>
  <c r="F288" i="1"/>
  <c r="M288" i="1" s="1"/>
  <c r="C288" i="1"/>
  <c r="J288" i="1" s="1"/>
  <c r="F287" i="1"/>
  <c r="M287" i="1" s="1"/>
  <c r="C287" i="1"/>
  <c r="F286" i="1"/>
  <c r="M286" i="1" s="1"/>
  <c r="C286" i="1"/>
  <c r="J286" i="1" s="1"/>
  <c r="F285" i="1"/>
  <c r="M285" i="1" s="1"/>
  <c r="C285" i="1"/>
  <c r="F284" i="1"/>
  <c r="M284" i="1" s="1"/>
  <c r="C284" i="1"/>
  <c r="J284" i="1" s="1"/>
  <c r="F283" i="1"/>
  <c r="M283" i="1" s="1"/>
  <c r="C283" i="1"/>
  <c r="F282" i="1"/>
  <c r="M282" i="1" s="1"/>
  <c r="C282" i="1"/>
  <c r="J282" i="1" s="1"/>
  <c r="F281" i="1"/>
  <c r="M281" i="1" s="1"/>
  <c r="C281" i="1"/>
  <c r="F280" i="1"/>
  <c r="M280" i="1" s="1"/>
  <c r="C280" i="1"/>
  <c r="J280" i="1" s="1"/>
  <c r="F279" i="1"/>
  <c r="M279" i="1" s="1"/>
  <c r="C279" i="1"/>
  <c r="F278" i="1"/>
  <c r="M278" i="1" s="1"/>
  <c r="C278" i="1"/>
  <c r="J278" i="1" s="1"/>
  <c r="F277" i="1"/>
  <c r="M277" i="1" s="1"/>
  <c r="C277" i="1"/>
  <c r="F276" i="1"/>
  <c r="M276" i="1" s="1"/>
  <c r="C276" i="1"/>
  <c r="J275" i="1"/>
  <c r="F275" i="1"/>
  <c r="C275" i="1"/>
  <c r="F273" i="1"/>
  <c r="M273" i="1" s="1"/>
  <c r="C273" i="1"/>
  <c r="F272" i="1"/>
  <c r="M272" i="1" s="1"/>
  <c r="C272" i="1"/>
  <c r="J272" i="1" s="1"/>
  <c r="F271" i="1"/>
  <c r="M271" i="1" s="1"/>
  <c r="C271" i="1"/>
  <c r="F270" i="1"/>
  <c r="M270" i="1" s="1"/>
  <c r="C270" i="1"/>
  <c r="J270" i="1" s="1"/>
  <c r="F269" i="1"/>
  <c r="M269" i="1" s="1"/>
  <c r="C269" i="1"/>
  <c r="F268" i="1"/>
  <c r="M268" i="1" s="1"/>
  <c r="C268" i="1"/>
  <c r="J268" i="1" s="1"/>
  <c r="J267" i="1"/>
  <c r="F267" i="1"/>
  <c r="M267" i="1" s="1"/>
  <c r="C267" i="1"/>
  <c r="J266" i="1"/>
  <c r="F266" i="1"/>
  <c r="M266" i="1" s="1"/>
  <c r="C266" i="1"/>
  <c r="F265" i="1"/>
  <c r="M265" i="1" s="1"/>
  <c r="C265" i="1"/>
  <c r="J265" i="1" s="1"/>
  <c r="F264" i="1"/>
  <c r="M264" i="1" s="1"/>
  <c r="C264" i="1"/>
  <c r="F263" i="1"/>
  <c r="M263" i="1" s="1"/>
  <c r="C263" i="1"/>
  <c r="F262" i="1"/>
  <c r="M262" i="1" s="1"/>
  <c r="C262" i="1"/>
  <c r="F261" i="1"/>
  <c r="M261" i="1" s="1"/>
  <c r="C261" i="1"/>
  <c r="J261" i="1" s="1"/>
  <c r="F260" i="1"/>
  <c r="M260" i="1" s="1"/>
  <c r="C260" i="1"/>
  <c r="F259" i="1"/>
  <c r="M259" i="1" s="1"/>
  <c r="C259" i="1"/>
  <c r="J259" i="1" s="1"/>
  <c r="F258" i="1"/>
  <c r="M258" i="1" s="1"/>
  <c r="C258" i="1"/>
  <c r="J257" i="1"/>
  <c r="F257" i="1"/>
  <c r="M257" i="1" s="1"/>
  <c r="C257" i="1"/>
  <c r="F256" i="1"/>
  <c r="K256" i="1" s="1"/>
  <c r="C256" i="1"/>
  <c r="J255" i="1"/>
  <c r="F255" i="1"/>
  <c r="C255" i="1"/>
  <c r="K254" i="1"/>
  <c r="F254" i="1"/>
  <c r="C254" i="1"/>
  <c r="F253" i="1"/>
  <c r="C253" i="1"/>
  <c r="J253" i="1" s="1"/>
  <c r="F251" i="1"/>
  <c r="M251" i="1" s="1"/>
  <c r="C251" i="1"/>
  <c r="J251" i="1" s="1"/>
  <c r="F250" i="1"/>
  <c r="M250" i="1" s="1"/>
  <c r="C250" i="1"/>
  <c r="F249" i="1"/>
  <c r="M249" i="1" s="1"/>
  <c r="C249" i="1"/>
  <c r="F248" i="1"/>
  <c r="M248" i="1" s="1"/>
  <c r="C248" i="1"/>
  <c r="F247" i="1"/>
  <c r="M247" i="1" s="1"/>
  <c r="C247" i="1"/>
  <c r="F246" i="1"/>
  <c r="M246" i="1" s="1"/>
  <c r="C246" i="1"/>
  <c r="F245" i="1"/>
  <c r="M245" i="1" s="1"/>
  <c r="C245" i="1"/>
  <c r="F244" i="1"/>
  <c r="M244" i="1" s="1"/>
  <c r="C244" i="1"/>
  <c r="F243" i="1"/>
  <c r="M243" i="1" s="1"/>
  <c r="C243" i="1"/>
  <c r="F242" i="1"/>
  <c r="M242" i="1" s="1"/>
  <c r="C242" i="1"/>
  <c r="F241" i="1"/>
  <c r="M241" i="1" s="1"/>
  <c r="C241" i="1"/>
  <c r="F240" i="1"/>
  <c r="M240" i="1" s="1"/>
  <c r="C240" i="1"/>
  <c r="F239" i="1"/>
  <c r="M239" i="1" s="1"/>
  <c r="C239" i="1"/>
  <c r="F238" i="1"/>
  <c r="M238" i="1" s="1"/>
  <c r="C238" i="1"/>
  <c r="F237" i="1"/>
  <c r="M237" i="1" s="1"/>
  <c r="C237" i="1"/>
  <c r="F236" i="1"/>
  <c r="M236" i="1" s="1"/>
  <c r="C236" i="1"/>
  <c r="F235" i="1"/>
  <c r="M235" i="1" s="1"/>
  <c r="C235" i="1"/>
  <c r="F234" i="1"/>
  <c r="M234" i="1" s="1"/>
  <c r="C234" i="1"/>
  <c r="F233" i="1"/>
  <c r="M233" i="1" s="1"/>
  <c r="C233" i="1"/>
  <c r="F232" i="1"/>
  <c r="M232" i="1" s="1"/>
  <c r="C232" i="1"/>
  <c r="F231" i="1"/>
  <c r="C231" i="1"/>
  <c r="J229" i="1"/>
  <c r="F229" i="1"/>
  <c r="M229" i="1" s="1"/>
  <c r="C229" i="1"/>
  <c r="I229" i="1" s="1"/>
  <c r="F228" i="1"/>
  <c r="M228" i="1" s="1"/>
  <c r="C228" i="1"/>
  <c r="I228" i="1" s="1"/>
  <c r="F227" i="1"/>
  <c r="M227" i="1" s="1"/>
  <c r="C227" i="1"/>
  <c r="I227" i="1" s="1"/>
  <c r="F226" i="1"/>
  <c r="M226" i="1" s="1"/>
  <c r="C226" i="1"/>
  <c r="F225" i="1"/>
  <c r="L225" i="1" s="1"/>
  <c r="C225" i="1"/>
  <c r="J224" i="1"/>
  <c r="F224" i="1"/>
  <c r="L224" i="1" s="1"/>
  <c r="C224" i="1"/>
  <c r="I224" i="1" s="1"/>
  <c r="J223" i="1"/>
  <c r="F223" i="1"/>
  <c r="L223" i="1" s="1"/>
  <c r="C223" i="1"/>
  <c r="I223" i="1" s="1"/>
  <c r="J222" i="1"/>
  <c r="F222" i="1"/>
  <c r="C222" i="1"/>
  <c r="I222" i="1" s="1"/>
  <c r="F221" i="1"/>
  <c r="C221" i="1"/>
  <c r="I221" i="1" s="1"/>
  <c r="L220" i="1"/>
  <c r="J220" i="1"/>
  <c r="F220" i="1"/>
  <c r="K220" i="1" s="1"/>
  <c r="C220" i="1"/>
  <c r="I220" i="1" s="1"/>
  <c r="J219" i="1"/>
  <c r="F219" i="1"/>
  <c r="K219" i="1" s="1"/>
  <c r="C219" i="1"/>
  <c r="I219" i="1" s="1"/>
  <c r="F218" i="1"/>
  <c r="K218" i="1" s="1"/>
  <c r="C218" i="1"/>
  <c r="L217" i="1"/>
  <c r="F217" i="1"/>
  <c r="K217" i="1" s="1"/>
  <c r="C217" i="1"/>
  <c r="I217" i="1" s="1"/>
  <c r="L216" i="1"/>
  <c r="F216" i="1"/>
  <c r="K216" i="1" s="1"/>
  <c r="C216" i="1"/>
  <c r="F215" i="1"/>
  <c r="C215" i="1"/>
  <c r="F214" i="1"/>
  <c r="C214" i="1"/>
  <c r="I214" i="1" s="1"/>
  <c r="F213" i="1"/>
  <c r="K213" i="1" s="1"/>
  <c r="C213" i="1"/>
  <c r="J212" i="1"/>
  <c r="F212" i="1"/>
  <c r="K212" i="1" s="1"/>
  <c r="C212" i="1"/>
  <c r="I212" i="1" s="1"/>
  <c r="F211" i="1"/>
  <c r="K211" i="1" s="1"/>
  <c r="C211" i="1"/>
  <c r="I211" i="1" s="1"/>
  <c r="J210" i="1"/>
  <c r="F210" i="1"/>
  <c r="C210" i="1"/>
  <c r="I210" i="1" s="1"/>
  <c r="L209" i="1"/>
  <c r="J209" i="1"/>
  <c r="F209" i="1"/>
  <c r="K209" i="1" s="1"/>
  <c r="C209" i="1"/>
  <c r="I209" i="1" s="1"/>
  <c r="F207" i="1"/>
  <c r="M207" i="1" s="1"/>
  <c r="C207" i="1"/>
  <c r="F206" i="1"/>
  <c r="M206" i="1" s="1"/>
  <c r="C206" i="1"/>
  <c r="J206" i="1" s="1"/>
  <c r="F205" i="1"/>
  <c r="M205" i="1" s="1"/>
  <c r="C205" i="1"/>
  <c r="F204" i="1"/>
  <c r="M204" i="1" s="1"/>
  <c r="C204" i="1"/>
  <c r="J204" i="1" s="1"/>
  <c r="F203" i="1"/>
  <c r="M203" i="1" s="1"/>
  <c r="C203" i="1"/>
  <c r="J203" i="1" s="1"/>
  <c r="F202" i="1"/>
  <c r="M202" i="1" s="1"/>
  <c r="C202" i="1"/>
  <c r="J201" i="1"/>
  <c r="F201" i="1"/>
  <c r="M201" i="1" s="1"/>
  <c r="C201" i="1"/>
  <c r="F200" i="1"/>
  <c r="M200" i="1" s="1"/>
  <c r="C200" i="1"/>
  <c r="J200" i="1" s="1"/>
  <c r="F199" i="1"/>
  <c r="M199" i="1" s="1"/>
  <c r="C199" i="1"/>
  <c r="J199" i="1" s="1"/>
  <c r="J198" i="1"/>
  <c r="F198" i="1"/>
  <c r="M198" i="1" s="1"/>
  <c r="C198" i="1"/>
  <c r="J197" i="1"/>
  <c r="F197" i="1"/>
  <c r="M197" i="1" s="1"/>
  <c r="C197" i="1"/>
  <c r="F196" i="1"/>
  <c r="M196" i="1" s="1"/>
  <c r="C196" i="1"/>
  <c r="J196" i="1" s="1"/>
  <c r="F195" i="1"/>
  <c r="M195" i="1" s="1"/>
  <c r="C195" i="1"/>
  <c r="J195" i="1" s="1"/>
  <c r="J194" i="1"/>
  <c r="F194" i="1"/>
  <c r="M194" i="1" s="1"/>
  <c r="C194" i="1"/>
  <c r="J193" i="1"/>
  <c r="F193" i="1"/>
  <c r="M193" i="1" s="1"/>
  <c r="C193" i="1"/>
  <c r="F192" i="1"/>
  <c r="M192" i="1" s="1"/>
  <c r="C192" i="1"/>
  <c r="J192" i="1" s="1"/>
  <c r="F191" i="1"/>
  <c r="C191" i="1"/>
  <c r="J191" i="1" s="1"/>
  <c r="F190" i="1"/>
  <c r="M190" i="1" s="1"/>
  <c r="C190" i="1"/>
  <c r="J190" i="1" s="1"/>
  <c r="J189" i="1"/>
  <c r="F189" i="1"/>
  <c r="C189" i="1"/>
  <c r="J188" i="1"/>
  <c r="F188" i="1"/>
  <c r="C188" i="1"/>
  <c r="F187" i="1"/>
  <c r="C187" i="1"/>
  <c r="J187" i="1" s="1"/>
  <c r="F185" i="1"/>
  <c r="M185" i="1" s="1"/>
  <c r="C185" i="1"/>
  <c r="F184" i="1"/>
  <c r="M184" i="1" s="1"/>
  <c r="C184" i="1"/>
  <c r="J184" i="1" s="1"/>
  <c r="F183" i="1"/>
  <c r="M183" i="1" s="1"/>
  <c r="C183" i="1"/>
  <c r="J183" i="1" s="1"/>
  <c r="F182" i="1"/>
  <c r="M182" i="1" s="1"/>
  <c r="C182" i="1"/>
  <c r="F181" i="1"/>
  <c r="M181" i="1" s="1"/>
  <c r="C181" i="1"/>
  <c r="J181" i="1" s="1"/>
  <c r="F180" i="1"/>
  <c r="M180" i="1" s="1"/>
  <c r="C180" i="1"/>
  <c r="F179" i="1"/>
  <c r="M179" i="1" s="1"/>
  <c r="C179" i="1"/>
  <c r="J179" i="1" s="1"/>
  <c r="F178" i="1"/>
  <c r="M178" i="1" s="1"/>
  <c r="C178" i="1"/>
  <c r="F177" i="1"/>
  <c r="M177" i="1" s="1"/>
  <c r="C177" i="1"/>
  <c r="J177" i="1" s="1"/>
  <c r="F176" i="1"/>
  <c r="M176" i="1" s="1"/>
  <c r="C176" i="1"/>
  <c r="F175" i="1"/>
  <c r="M175" i="1" s="1"/>
  <c r="C175" i="1"/>
  <c r="J175" i="1" s="1"/>
  <c r="F174" i="1"/>
  <c r="M174" i="1" s="1"/>
  <c r="C174" i="1"/>
  <c r="F173" i="1"/>
  <c r="M173" i="1" s="1"/>
  <c r="C173" i="1"/>
  <c r="J173" i="1" s="1"/>
  <c r="F172" i="1"/>
  <c r="M172" i="1" s="1"/>
  <c r="C172" i="1"/>
  <c r="J172" i="1" s="1"/>
  <c r="F171" i="1"/>
  <c r="M171" i="1" s="1"/>
  <c r="C171" i="1"/>
  <c r="J171" i="1" s="1"/>
  <c r="J170" i="1"/>
  <c r="F170" i="1"/>
  <c r="M170" i="1" s="1"/>
  <c r="C170" i="1"/>
  <c r="J169" i="1"/>
  <c r="F169" i="1"/>
  <c r="M169" i="1" s="1"/>
  <c r="C169" i="1"/>
  <c r="F168" i="1"/>
  <c r="M168" i="1" s="1"/>
  <c r="C168" i="1"/>
  <c r="J168" i="1" s="1"/>
  <c r="F167" i="1"/>
  <c r="C167" i="1"/>
  <c r="J167" i="1" s="1"/>
  <c r="F166" i="1"/>
  <c r="C166" i="1"/>
  <c r="J166" i="1" s="1"/>
  <c r="F165" i="1"/>
  <c r="K165" i="1" s="1"/>
  <c r="C165" i="1"/>
  <c r="J165" i="1" s="1"/>
  <c r="F163" i="1"/>
  <c r="M163" i="1" s="1"/>
  <c r="C163" i="1"/>
  <c r="F162" i="1"/>
  <c r="M162" i="1" s="1"/>
  <c r="C162" i="1"/>
  <c r="I162" i="1" s="1"/>
  <c r="F161" i="1"/>
  <c r="M161" i="1" s="1"/>
  <c r="C161" i="1"/>
  <c r="F160" i="1"/>
  <c r="M160" i="1" s="1"/>
  <c r="C160" i="1"/>
  <c r="I160" i="1" s="1"/>
  <c r="M159" i="1"/>
  <c r="J159" i="1"/>
  <c r="F159" i="1"/>
  <c r="L159" i="1" s="1"/>
  <c r="C159" i="1"/>
  <c r="I159" i="1" s="1"/>
  <c r="F158" i="1"/>
  <c r="L158" i="1" s="1"/>
  <c r="C158" i="1"/>
  <c r="I158" i="1" s="1"/>
  <c r="F157" i="1"/>
  <c r="L157" i="1" s="1"/>
  <c r="C157" i="1"/>
  <c r="I157" i="1" s="1"/>
  <c r="L156" i="1"/>
  <c r="F156" i="1"/>
  <c r="K156" i="1" s="1"/>
  <c r="C156" i="1"/>
  <c r="I156" i="1" s="1"/>
  <c r="F155" i="1"/>
  <c r="K155" i="1" s="1"/>
  <c r="C155" i="1"/>
  <c r="I155" i="1" s="1"/>
  <c r="J154" i="1"/>
  <c r="F154" i="1"/>
  <c r="C154" i="1"/>
  <c r="I154" i="1" s="1"/>
  <c r="F153" i="1"/>
  <c r="C153" i="1"/>
  <c r="I153" i="1" s="1"/>
  <c r="J152" i="1"/>
  <c r="F152" i="1"/>
  <c r="C152" i="1"/>
  <c r="I152" i="1" s="1"/>
  <c r="F151" i="1"/>
  <c r="K151" i="1" s="1"/>
  <c r="C151" i="1"/>
  <c r="F150" i="1"/>
  <c r="C150" i="1"/>
  <c r="F149" i="1"/>
  <c r="C149" i="1"/>
  <c r="J148" i="1"/>
  <c r="F148" i="1"/>
  <c r="C148" i="1"/>
  <c r="I148" i="1" s="1"/>
  <c r="F147" i="1"/>
  <c r="K147" i="1" s="1"/>
  <c r="C147" i="1"/>
  <c r="F146" i="1"/>
  <c r="K146" i="1" s="1"/>
  <c r="C146" i="1"/>
  <c r="I146" i="1" s="1"/>
  <c r="M145" i="1"/>
  <c r="J145" i="1"/>
  <c r="F145" i="1"/>
  <c r="K145" i="1" s="1"/>
  <c r="C145" i="1"/>
  <c r="I145" i="1" s="1"/>
  <c r="L144" i="1"/>
  <c r="J144" i="1"/>
  <c r="F144" i="1"/>
  <c r="K144" i="1" s="1"/>
  <c r="C144" i="1"/>
  <c r="I144" i="1" s="1"/>
  <c r="F143" i="1"/>
  <c r="K143" i="1" s="1"/>
  <c r="C143" i="1"/>
  <c r="I143" i="1" s="1"/>
  <c r="F141" i="1"/>
  <c r="M141" i="1" s="1"/>
  <c r="C141" i="1"/>
  <c r="I141" i="1" s="1"/>
  <c r="F140" i="1"/>
  <c r="M140" i="1" s="1"/>
  <c r="C140" i="1"/>
  <c r="I140" i="1" s="1"/>
  <c r="F139" i="1"/>
  <c r="M139" i="1" s="1"/>
  <c r="C139" i="1"/>
  <c r="F138" i="1"/>
  <c r="M138" i="1" s="1"/>
  <c r="C138" i="1"/>
  <c r="I138" i="1" s="1"/>
  <c r="J137" i="1"/>
  <c r="F137" i="1"/>
  <c r="M137" i="1" s="1"/>
  <c r="C137" i="1"/>
  <c r="I137" i="1" s="1"/>
  <c r="F136" i="1"/>
  <c r="C136" i="1"/>
  <c r="I136" i="1" s="1"/>
  <c r="F135" i="1"/>
  <c r="L135" i="1" s="1"/>
  <c r="C135" i="1"/>
  <c r="I135" i="1" s="1"/>
  <c r="M134" i="1"/>
  <c r="F134" i="1"/>
  <c r="L134" i="1" s="1"/>
  <c r="C134" i="1"/>
  <c r="F133" i="1"/>
  <c r="L133" i="1" s="1"/>
  <c r="C133" i="1"/>
  <c r="I133" i="1" s="1"/>
  <c r="F132" i="1"/>
  <c r="L132" i="1" s="1"/>
  <c r="C132" i="1"/>
  <c r="F131" i="1"/>
  <c r="K131" i="1" s="1"/>
  <c r="C131" i="1"/>
  <c r="I131" i="1" s="1"/>
  <c r="M130" i="1"/>
  <c r="L130" i="1"/>
  <c r="F130" i="1"/>
  <c r="K130" i="1" s="1"/>
  <c r="C130" i="1"/>
  <c r="M129" i="1"/>
  <c r="F129" i="1"/>
  <c r="C129" i="1"/>
  <c r="F128" i="1"/>
  <c r="K128" i="1" s="1"/>
  <c r="C128" i="1"/>
  <c r="I128" i="1" s="1"/>
  <c r="M127" i="1"/>
  <c r="F127" i="1"/>
  <c r="K127" i="1" s="1"/>
  <c r="C127" i="1"/>
  <c r="I127" i="1" s="1"/>
  <c r="M126" i="1"/>
  <c r="J126" i="1"/>
  <c r="F126" i="1"/>
  <c r="K126" i="1" s="1"/>
  <c r="C126" i="1"/>
  <c r="I126" i="1" s="1"/>
  <c r="J125" i="1"/>
  <c r="F125" i="1"/>
  <c r="K125" i="1" s="1"/>
  <c r="C125" i="1"/>
  <c r="I125" i="1" s="1"/>
  <c r="F124" i="1"/>
  <c r="K124" i="1" s="1"/>
  <c r="C124" i="1"/>
  <c r="I124" i="1" s="1"/>
  <c r="F123" i="1"/>
  <c r="C123" i="1"/>
  <c r="J122" i="1"/>
  <c r="F122" i="1"/>
  <c r="C122" i="1"/>
  <c r="I122" i="1" s="1"/>
  <c r="F121" i="1"/>
  <c r="C121" i="1"/>
  <c r="I121" i="1" s="1"/>
  <c r="F119" i="1"/>
  <c r="M119" i="1" s="1"/>
  <c r="C119" i="1"/>
  <c r="I119" i="1" s="1"/>
  <c r="J118" i="1"/>
  <c r="F118" i="1"/>
  <c r="M118" i="1" s="1"/>
  <c r="C118" i="1"/>
  <c r="I118" i="1" s="1"/>
  <c r="F117" i="1"/>
  <c r="M117" i="1" s="1"/>
  <c r="C117" i="1"/>
  <c r="I117" i="1" s="1"/>
  <c r="F116" i="1"/>
  <c r="C116" i="1"/>
  <c r="F115" i="1"/>
  <c r="L115" i="1" s="1"/>
  <c r="C115" i="1"/>
  <c r="I115" i="1" s="1"/>
  <c r="J114" i="1"/>
  <c r="F114" i="1"/>
  <c r="L114" i="1" s="1"/>
  <c r="C114" i="1"/>
  <c r="I114" i="1" s="1"/>
  <c r="F113" i="1"/>
  <c r="L113" i="1" s="1"/>
  <c r="C113" i="1"/>
  <c r="I113" i="1" s="1"/>
  <c r="F112" i="1"/>
  <c r="L112" i="1" s="1"/>
  <c r="C112" i="1"/>
  <c r="M111" i="1"/>
  <c r="F111" i="1"/>
  <c r="L111" i="1" s="1"/>
  <c r="C111" i="1"/>
  <c r="I111" i="1" s="1"/>
  <c r="J110" i="1"/>
  <c r="F110" i="1"/>
  <c r="K110" i="1" s="1"/>
  <c r="C110" i="1"/>
  <c r="I110" i="1" s="1"/>
  <c r="F109" i="1"/>
  <c r="K109" i="1" s="1"/>
  <c r="C109" i="1"/>
  <c r="I109" i="1" s="1"/>
  <c r="J108" i="1"/>
  <c r="F108" i="1"/>
  <c r="K108" i="1" s="1"/>
  <c r="C108" i="1"/>
  <c r="I108" i="1" s="1"/>
  <c r="F107" i="1"/>
  <c r="K107" i="1" s="1"/>
  <c r="C107" i="1"/>
  <c r="I107" i="1" s="1"/>
  <c r="J106" i="1"/>
  <c r="F106" i="1"/>
  <c r="C106" i="1"/>
  <c r="I106" i="1" s="1"/>
  <c r="F105" i="1"/>
  <c r="C105" i="1"/>
  <c r="I105" i="1" s="1"/>
  <c r="M104" i="1"/>
  <c r="L104" i="1"/>
  <c r="J104" i="1"/>
  <c r="F104" i="1"/>
  <c r="K104" i="1" s="1"/>
  <c r="C104" i="1"/>
  <c r="I104" i="1" s="1"/>
  <c r="M103" i="1"/>
  <c r="L103" i="1"/>
  <c r="F103" i="1"/>
  <c r="K103" i="1" s="1"/>
  <c r="C103" i="1"/>
  <c r="I103" i="1" s="1"/>
  <c r="J102" i="1"/>
  <c r="F102" i="1"/>
  <c r="K102" i="1" s="1"/>
  <c r="C102" i="1"/>
  <c r="I102" i="1" s="1"/>
  <c r="F101" i="1"/>
  <c r="K101" i="1" s="1"/>
  <c r="C101" i="1"/>
  <c r="J100" i="1"/>
  <c r="I100" i="1"/>
  <c r="F100" i="1"/>
  <c r="C100" i="1"/>
  <c r="H100" i="1" s="1"/>
  <c r="F99" i="1"/>
  <c r="K99" i="1" s="1"/>
  <c r="C99" i="1"/>
  <c r="F97" i="1"/>
  <c r="M97" i="1" s="1"/>
  <c r="C97" i="1"/>
  <c r="J97" i="1" s="1"/>
  <c r="F96" i="1"/>
  <c r="M96" i="1" s="1"/>
  <c r="C96" i="1"/>
  <c r="F95" i="1"/>
  <c r="M95" i="1" s="1"/>
  <c r="C95" i="1"/>
  <c r="F94" i="1"/>
  <c r="M94" i="1" s="1"/>
  <c r="C94" i="1"/>
  <c r="F93" i="1"/>
  <c r="M93" i="1" s="1"/>
  <c r="C93" i="1"/>
  <c r="J93" i="1" s="1"/>
  <c r="F92" i="1"/>
  <c r="M92" i="1" s="1"/>
  <c r="C92" i="1"/>
  <c r="F91" i="1"/>
  <c r="M91" i="1" s="1"/>
  <c r="C91" i="1"/>
  <c r="J91" i="1" s="1"/>
  <c r="F90" i="1"/>
  <c r="M90" i="1" s="1"/>
  <c r="C90" i="1"/>
  <c r="J90" i="1" s="1"/>
  <c r="F89" i="1"/>
  <c r="M89" i="1" s="1"/>
  <c r="C89" i="1"/>
  <c r="F88" i="1"/>
  <c r="M88" i="1" s="1"/>
  <c r="C88" i="1"/>
  <c r="F87" i="1"/>
  <c r="M87" i="1" s="1"/>
  <c r="C87" i="1"/>
  <c r="J87" i="1" s="1"/>
  <c r="F86" i="1"/>
  <c r="M86" i="1" s="1"/>
  <c r="C86" i="1"/>
  <c r="F85" i="1"/>
  <c r="M85" i="1" s="1"/>
  <c r="C85" i="1"/>
  <c r="F84" i="1"/>
  <c r="M84" i="1" s="1"/>
  <c r="C84" i="1"/>
  <c r="F83" i="1"/>
  <c r="M83" i="1" s="1"/>
  <c r="C83" i="1"/>
  <c r="F82" i="1"/>
  <c r="M82" i="1" s="1"/>
  <c r="C82" i="1"/>
  <c r="J82" i="1" s="1"/>
  <c r="F81" i="1"/>
  <c r="M81" i="1" s="1"/>
  <c r="C81" i="1"/>
  <c r="F80" i="1"/>
  <c r="M80" i="1" s="1"/>
  <c r="C80" i="1"/>
  <c r="J80" i="1" s="1"/>
  <c r="F79" i="1"/>
  <c r="M79" i="1" s="1"/>
  <c r="C79" i="1"/>
  <c r="F78" i="1"/>
  <c r="M78" i="1" s="1"/>
  <c r="C78" i="1"/>
  <c r="F77" i="1"/>
  <c r="C77" i="1"/>
  <c r="F75" i="1"/>
  <c r="M75" i="1" s="1"/>
  <c r="C75" i="1"/>
  <c r="I75" i="1" s="1"/>
  <c r="F74" i="1"/>
  <c r="M74" i="1" s="1"/>
  <c r="C74" i="1"/>
  <c r="I74" i="1" s="1"/>
  <c r="F73" i="1"/>
  <c r="M73" i="1" s="1"/>
  <c r="C73" i="1"/>
  <c r="I73" i="1" s="1"/>
  <c r="F72" i="1"/>
  <c r="M72" i="1" s="1"/>
  <c r="C72" i="1"/>
  <c r="I72" i="1" s="1"/>
  <c r="J71" i="1"/>
  <c r="F71" i="1"/>
  <c r="M71" i="1" s="1"/>
  <c r="C71" i="1"/>
  <c r="J70" i="1"/>
  <c r="F70" i="1"/>
  <c r="M70" i="1" s="1"/>
  <c r="C70" i="1"/>
  <c r="F69" i="1"/>
  <c r="M69" i="1" s="1"/>
  <c r="C69" i="1"/>
  <c r="J69" i="1" s="1"/>
  <c r="F68" i="1"/>
  <c r="M68" i="1" s="1"/>
  <c r="C68" i="1"/>
  <c r="J68" i="1" s="1"/>
  <c r="J67" i="1"/>
  <c r="F67" i="1"/>
  <c r="M67" i="1" s="1"/>
  <c r="C67" i="1"/>
  <c r="J66" i="1"/>
  <c r="F66" i="1"/>
  <c r="M66" i="1" s="1"/>
  <c r="C66" i="1"/>
  <c r="F65" i="1"/>
  <c r="M65" i="1" s="1"/>
  <c r="C65" i="1"/>
  <c r="J65" i="1" s="1"/>
  <c r="F64" i="1"/>
  <c r="M64" i="1" s="1"/>
  <c r="C64" i="1"/>
  <c r="J64" i="1" s="1"/>
  <c r="J63" i="1"/>
  <c r="F63" i="1"/>
  <c r="M63" i="1" s="1"/>
  <c r="C63" i="1"/>
  <c r="J62" i="1"/>
  <c r="F62" i="1"/>
  <c r="M62" i="1" s="1"/>
  <c r="C62" i="1"/>
  <c r="F61" i="1"/>
  <c r="M61" i="1" s="1"/>
  <c r="C61" i="1"/>
  <c r="J61" i="1" s="1"/>
  <c r="F60" i="1"/>
  <c r="M60" i="1" s="1"/>
  <c r="C60" i="1"/>
  <c r="J60" i="1" s="1"/>
  <c r="J59" i="1"/>
  <c r="F59" i="1"/>
  <c r="M59" i="1" s="1"/>
  <c r="C59" i="1"/>
  <c r="K58" i="1"/>
  <c r="J58" i="1"/>
  <c r="F58" i="1"/>
  <c r="M58" i="1" s="1"/>
  <c r="C58" i="1"/>
  <c r="J57" i="1"/>
  <c r="F57" i="1"/>
  <c r="M57" i="1" s="1"/>
  <c r="C57" i="1"/>
  <c r="F56" i="1"/>
  <c r="M56" i="1" s="1"/>
  <c r="C56" i="1"/>
  <c r="J56" i="1" s="1"/>
  <c r="F55" i="1"/>
  <c r="M55" i="1" s="1"/>
  <c r="C55" i="1"/>
  <c r="J53" i="1"/>
  <c r="F53" i="1"/>
  <c r="M53" i="1" s="1"/>
  <c r="C53" i="1"/>
  <c r="I53" i="1" s="1"/>
  <c r="F52" i="1"/>
  <c r="M52" i="1" s="1"/>
  <c r="C52" i="1"/>
  <c r="I52" i="1" s="1"/>
  <c r="F51" i="1"/>
  <c r="M51" i="1" s="1"/>
  <c r="C51" i="1"/>
  <c r="I51" i="1" s="1"/>
  <c r="F50" i="1"/>
  <c r="M50" i="1" s="1"/>
  <c r="C50" i="1"/>
  <c r="I50" i="1" s="1"/>
  <c r="F49" i="1"/>
  <c r="M49" i="1" s="1"/>
  <c r="C49" i="1"/>
  <c r="I49" i="1" s="1"/>
  <c r="F48" i="1"/>
  <c r="M48" i="1" s="1"/>
  <c r="C48" i="1"/>
  <c r="I48" i="1" s="1"/>
  <c r="K47" i="1"/>
  <c r="F47" i="1"/>
  <c r="M47" i="1" s="1"/>
  <c r="C47" i="1"/>
  <c r="I47" i="1" s="1"/>
  <c r="J46" i="1"/>
  <c r="F46" i="1"/>
  <c r="M46" i="1" s="1"/>
  <c r="C46" i="1"/>
  <c r="F45" i="1"/>
  <c r="M45" i="1" s="1"/>
  <c r="C45" i="1"/>
  <c r="J45" i="1" s="1"/>
  <c r="F44" i="1"/>
  <c r="M44" i="1" s="1"/>
  <c r="C44" i="1"/>
  <c r="J44" i="1" s="1"/>
  <c r="F43" i="1"/>
  <c r="M43" i="1" s="1"/>
  <c r="C43" i="1"/>
  <c r="J43" i="1" s="1"/>
  <c r="F42" i="1"/>
  <c r="M42" i="1" s="1"/>
  <c r="C42" i="1"/>
  <c r="J42" i="1" s="1"/>
  <c r="K41" i="1"/>
  <c r="F41" i="1"/>
  <c r="M41" i="1" s="1"/>
  <c r="C41" i="1"/>
  <c r="F40" i="1"/>
  <c r="M40" i="1" s="1"/>
  <c r="C40" i="1"/>
  <c r="F39" i="1"/>
  <c r="M39" i="1" s="1"/>
  <c r="C39" i="1"/>
  <c r="F38" i="1"/>
  <c r="M38" i="1" s="1"/>
  <c r="C38" i="1"/>
  <c r="F37" i="1"/>
  <c r="M37" i="1" s="1"/>
  <c r="C37" i="1"/>
  <c r="F36" i="1"/>
  <c r="M36" i="1" s="1"/>
  <c r="C36" i="1"/>
  <c r="J36" i="1" s="1"/>
  <c r="F35" i="1"/>
  <c r="M35" i="1" s="1"/>
  <c r="C35" i="1"/>
  <c r="F34" i="1"/>
  <c r="M34" i="1" s="1"/>
  <c r="C34" i="1"/>
  <c r="J34" i="1" s="1"/>
  <c r="C33" i="1"/>
  <c r="H33" i="1" s="1"/>
  <c r="I33" i="1"/>
  <c r="K121" i="1" l="1"/>
  <c r="M121" i="1"/>
  <c r="K214" i="1"/>
  <c r="M214" i="1"/>
  <c r="L214" i="1"/>
  <c r="K221" i="1"/>
  <c r="M221" i="1"/>
  <c r="K349" i="1"/>
  <c r="L349" i="1"/>
  <c r="K352" i="1"/>
  <c r="M352" i="1"/>
  <c r="K354" i="1"/>
  <c r="L354" i="1"/>
  <c r="I372" i="1"/>
  <c r="J372" i="1"/>
  <c r="K422" i="1"/>
  <c r="L422" i="1"/>
  <c r="I471" i="1"/>
  <c r="J471" i="1"/>
  <c r="K106" i="1"/>
  <c r="L106" i="1"/>
  <c r="L121" i="1"/>
  <c r="I123" i="1"/>
  <c r="J123" i="1"/>
  <c r="I130" i="1"/>
  <c r="J130" i="1"/>
  <c r="L136" i="1"/>
  <c r="M136" i="1"/>
  <c r="K148" i="1"/>
  <c r="M148" i="1"/>
  <c r="L148" i="1"/>
  <c r="I150" i="1"/>
  <c r="J150" i="1"/>
  <c r="K153" i="1"/>
  <c r="M153" i="1"/>
  <c r="I161" i="1"/>
  <c r="J161" i="1"/>
  <c r="I163" i="1"/>
  <c r="J163" i="1"/>
  <c r="L211" i="1"/>
  <c r="I213" i="1"/>
  <c r="J213" i="1"/>
  <c r="L221" i="1"/>
  <c r="I226" i="1"/>
  <c r="J226" i="1"/>
  <c r="K348" i="1"/>
  <c r="M348" i="1"/>
  <c r="I356" i="1"/>
  <c r="J356" i="1"/>
  <c r="I366" i="1"/>
  <c r="J366" i="1"/>
  <c r="I383" i="1"/>
  <c r="J383" i="1"/>
  <c r="K418" i="1"/>
  <c r="M418" i="1"/>
  <c r="I457" i="1"/>
  <c r="J457" i="1"/>
  <c r="J73" i="1"/>
  <c r="K105" i="1"/>
  <c r="M105" i="1"/>
  <c r="I116" i="1"/>
  <c r="J116" i="1"/>
  <c r="K123" i="1"/>
  <c r="L123" i="1"/>
  <c r="I129" i="1"/>
  <c r="J129" i="1"/>
  <c r="I147" i="1"/>
  <c r="J147" i="1"/>
  <c r="K150" i="1"/>
  <c r="M150" i="1"/>
  <c r="K152" i="1"/>
  <c r="M152" i="1"/>
  <c r="L152" i="1"/>
  <c r="M191" i="1"/>
  <c r="K191" i="1"/>
  <c r="K215" i="1"/>
  <c r="L215" i="1"/>
  <c r="I218" i="1"/>
  <c r="J218" i="1"/>
  <c r="K344" i="1"/>
  <c r="L344" i="1"/>
  <c r="L348" i="1"/>
  <c r="K353" i="1"/>
  <c r="M353" i="1"/>
  <c r="L353" i="1"/>
  <c r="I355" i="1"/>
  <c r="J355" i="1"/>
  <c r="I363" i="1"/>
  <c r="J363" i="1"/>
  <c r="K366" i="1"/>
  <c r="M366" i="1"/>
  <c r="I368" i="1"/>
  <c r="J368" i="1"/>
  <c r="K371" i="1"/>
  <c r="L371" i="1"/>
  <c r="K410" i="1"/>
  <c r="L410" i="1"/>
  <c r="K412" i="1"/>
  <c r="M412" i="1"/>
  <c r="K421" i="1"/>
  <c r="M421" i="1"/>
  <c r="L421" i="1"/>
  <c r="I453" i="1"/>
  <c r="J453" i="1"/>
  <c r="I456" i="1"/>
  <c r="J456" i="1"/>
  <c r="I460" i="1"/>
  <c r="J460" i="1"/>
  <c r="I466" i="1"/>
  <c r="J466" i="1"/>
  <c r="I470" i="1"/>
  <c r="J470" i="1"/>
  <c r="K100" i="1"/>
  <c r="L100" i="1"/>
  <c r="K149" i="1"/>
  <c r="L149" i="1"/>
  <c r="I216" i="1"/>
  <c r="J216" i="1"/>
  <c r="I359" i="1"/>
  <c r="J359" i="1"/>
  <c r="K367" i="1"/>
  <c r="L367" i="1"/>
  <c r="K370" i="1"/>
  <c r="M370" i="1"/>
  <c r="M388" i="1"/>
  <c r="K388" i="1"/>
  <c r="K408" i="1"/>
  <c r="M408" i="1"/>
  <c r="K414" i="1"/>
  <c r="L414" i="1"/>
  <c r="K419" i="1"/>
  <c r="M419" i="1"/>
  <c r="I452" i="1"/>
  <c r="J452" i="1"/>
  <c r="I458" i="1"/>
  <c r="J458" i="1"/>
  <c r="I462" i="1"/>
  <c r="J462" i="1"/>
  <c r="H99" i="1"/>
  <c r="N99" i="1" s="1"/>
  <c r="I99" i="1"/>
  <c r="L107" i="1"/>
  <c r="I112" i="1"/>
  <c r="J112" i="1"/>
  <c r="K210" i="1"/>
  <c r="L210" i="1"/>
  <c r="I215" i="1"/>
  <c r="J215" i="1"/>
  <c r="M336" i="1"/>
  <c r="K336" i="1"/>
  <c r="I341" i="1"/>
  <c r="J341" i="1"/>
  <c r="M354" i="1"/>
  <c r="M367" i="1"/>
  <c r="I369" i="1"/>
  <c r="J369" i="1"/>
  <c r="I371" i="1"/>
  <c r="J371" i="1"/>
  <c r="I374" i="1"/>
  <c r="J374" i="1"/>
  <c r="I377" i="1"/>
  <c r="J377" i="1"/>
  <c r="I410" i="1"/>
  <c r="J410" i="1"/>
  <c r="K413" i="1"/>
  <c r="M413" i="1"/>
  <c r="L413" i="1"/>
  <c r="L419" i="1"/>
  <c r="I426" i="1"/>
  <c r="J426" i="1"/>
  <c r="I461" i="1"/>
  <c r="J461" i="1"/>
  <c r="J72" i="1"/>
  <c r="H101" i="1"/>
  <c r="I101" i="1"/>
  <c r="L105" i="1"/>
  <c r="L116" i="1"/>
  <c r="M116" i="1"/>
  <c r="K122" i="1"/>
  <c r="M122" i="1"/>
  <c r="L122" i="1"/>
  <c r="M123" i="1"/>
  <c r="K129" i="1"/>
  <c r="L129" i="1"/>
  <c r="I132" i="1"/>
  <c r="J132" i="1"/>
  <c r="I134" i="1"/>
  <c r="J134" i="1"/>
  <c r="I139" i="1"/>
  <c r="J139" i="1"/>
  <c r="M143" i="1"/>
  <c r="I149" i="1"/>
  <c r="J149" i="1"/>
  <c r="I151" i="1"/>
  <c r="J151" i="1"/>
  <c r="K154" i="1"/>
  <c r="L154" i="1"/>
  <c r="L155" i="1"/>
  <c r="M215" i="1"/>
  <c r="K222" i="1"/>
  <c r="L222" i="1"/>
  <c r="I225" i="1"/>
  <c r="J225" i="1"/>
  <c r="K343" i="1"/>
  <c r="M343" i="1"/>
  <c r="I352" i="1"/>
  <c r="J352" i="1"/>
  <c r="I354" i="1"/>
  <c r="J354" i="1"/>
  <c r="I367" i="1"/>
  <c r="J367" i="1"/>
  <c r="I370" i="1"/>
  <c r="J370" i="1"/>
  <c r="M371" i="1"/>
  <c r="I373" i="1"/>
  <c r="J373" i="1"/>
  <c r="I378" i="1"/>
  <c r="J378" i="1"/>
  <c r="I382" i="1"/>
  <c r="J382" i="1"/>
  <c r="K409" i="1"/>
  <c r="M409" i="1"/>
  <c r="L409" i="1"/>
  <c r="I411" i="1"/>
  <c r="J411" i="1"/>
  <c r="I414" i="1"/>
  <c r="J414" i="1"/>
  <c r="K420" i="1"/>
  <c r="M420" i="1"/>
  <c r="L420" i="1"/>
  <c r="I422" i="1"/>
  <c r="J422" i="1"/>
  <c r="I459" i="1"/>
  <c r="J459" i="1"/>
  <c r="M209" i="1"/>
  <c r="M220" i="1"/>
  <c r="M407" i="1"/>
  <c r="N100" i="1"/>
  <c r="M115" i="1"/>
  <c r="M128" i="1"/>
  <c r="M135" i="1"/>
  <c r="M157" i="1"/>
  <c r="K486" i="1"/>
  <c r="M452" i="1"/>
  <c r="M453" i="1"/>
  <c r="M454" i="1"/>
  <c r="M463" i="1"/>
  <c r="M410" i="1"/>
  <c r="L411" i="1"/>
  <c r="M414" i="1"/>
  <c r="M415" i="1"/>
  <c r="L416" i="1"/>
  <c r="L417" i="1"/>
  <c r="M422" i="1"/>
  <c r="L415" i="1"/>
  <c r="M423" i="1"/>
  <c r="L408" i="1"/>
  <c r="M411" i="1"/>
  <c r="L412" i="1"/>
  <c r="M416" i="1"/>
  <c r="M417" i="1"/>
  <c r="L418" i="1"/>
  <c r="L364" i="1"/>
  <c r="L365" i="1"/>
  <c r="M368" i="1"/>
  <c r="L369" i="1"/>
  <c r="M372" i="1"/>
  <c r="L373" i="1"/>
  <c r="M364" i="1"/>
  <c r="M365" i="1"/>
  <c r="L366" i="1"/>
  <c r="M369" i="1"/>
  <c r="L370" i="1"/>
  <c r="M373" i="1"/>
  <c r="L374" i="1"/>
  <c r="L363" i="1"/>
  <c r="M363" i="1"/>
  <c r="M344" i="1"/>
  <c r="L345" i="1"/>
  <c r="M349" i="1"/>
  <c r="L350" i="1"/>
  <c r="L351" i="1"/>
  <c r="M355" i="1"/>
  <c r="L356" i="1"/>
  <c r="L357" i="1"/>
  <c r="M345" i="1"/>
  <c r="L346" i="1"/>
  <c r="M350" i="1"/>
  <c r="M351" i="1"/>
  <c r="L352" i="1"/>
  <c r="M356" i="1"/>
  <c r="M357" i="1"/>
  <c r="K305" i="1"/>
  <c r="K257" i="1"/>
  <c r="K264" i="1"/>
  <c r="K265" i="1"/>
  <c r="K261" i="1"/>
  <c r="K268" i="1"/>
  <c r="M210" i="1"/>
  <c r="M211" i="1"/>
  <c r="L212" i="1"/>
  <c r="M216" i="1"/>
  <c r="M217" i="1"/>
  <c r="L218" i="1"/>
  <c r="M222" i="1"/>
  <c r="M223" i="1"/>
  <c r="M224" i="1"/>
  <c r="M225" i="1"/>
  <c r="M212" i="1"/>
  <c r="L213" i="1"/>
  <c r="M218" i="1"/>
  <c r="L219" i="1"/>
  <c r="M213" i="1"/>
  <c r="M219" i="1"/>
  <c r="K201" i="1"/>
  <c r="K168" i="1"/>
  <c r="K172" i="1"/>
  <c r="M144" i="1"/>
  <c r="L145" i="1"/>
  <c r="L146" i="1"/>
  <c r="M149" i="1"/>
  <c r="L150" i="1"/>
  <c r="M154" i="1"/>
  <c r="M155" i="1"/>
  <c r="M156" i="1"/>
  <c r="M146" i="1"/>
  <c r="L147" i="1"/>
  <c r="L151" i="1"/>
  <c r="M147" i="1"/>
  <c r="M151" i="1"/>
  <c r="L153" i="1"/>
  <c r="M158" i="1"/>
  <c r="L143" i="1"/>
  <c r="M473" i="1"/>
  <c r="L473" i="1"/>
  <c r="I492" i="1"/>
  <c r="H492" i="1"/>
  <c r="I474" i="1"/>
  <c r="H474" i="1"/>
  <c r="I476" i="1"/>
  <c r="H476" i="1"/>
  <c r="K473" i="1"/>
  <c r="M474" i="1"/>
  <c r="L474" i="1"/>
  <c r="K474" i="1"/>
  <c r="I477" i="1"/>
  <c r="H477" i="1"/>
  <c r="I478" i="1"/>
  <c r="H478" i="1"/>
  <c r="N478" i="1" s="1"/>
  <c r="I479" i="1"/>
  <c r="H479" i="1"/>
  <c r="I480" i="1"/>
  <c r="H480" i="1"/>
  <c r="I481" i="1"/>
  <c r="H481" i="1"/>
  <c r="I482" i="1"/>
  <c r="H482" i="1"/>
  <c r="I483" i="1"/>
  <c r="H483" i="1"/>
  <c r="I484" i="1"/>
  <c r="H484" i="1"/>
  <c r="I485" i="1"/>
  <c r="H485" i="1"/>
  <c r="I486" i="1"/>
  <c r="H486" i="1"/>
  <c r="N486" i="1" s="1"/>
  <c r="J492" i="1"/>
  <c r="I493" i="1"/>
  <c r="H493" i="1"/>
  <c r="I475" i="1"/>
  <c r="H475" i="1"/>
  <c r="I473" i="1"/>
  <c r="H473" i="1"/>
  <c r="J474" i="1"/>
  <c r="J475" i="1"/>
  <c r="J476" i="1"/>
  <c r="I487" i="1"/>
  <c r="H487" i="1"/>
  <c r="I488" i="1"/>
  <c r="H488" i="1"/>
  <c r="I489" i="1"/>
  <c r="H489" i="1"/>
  <c r="I490" i="1"/>
  <c r="H490" i="1"/>
  <c r="I491" i="1"/>
  <c r="H491" i="1"/>
  <c r="N491" i="1" s="1"/>
  <c r="K475" i="1"/>
  <c r="K476" i="1"/>
  <c r="K478" i="1"/>
  <c r="K481" i="1"/>
  <c r="K485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K477" i="1"/>
  <c r="K479" i="1"/>
  <c r="K480" i="1"/>
  <c r="K482" i="1"/>
  <c r="K483" i="1"/>
  <c r="K484" i="1"/>
  <c r="K487" i="1"/>
  <c r="K488" i="1"/>
  <c r="K489" i="1"/>
  <c r="K490" i="1"/>
  <c r="K492" i="1"/>
  <c r="K493" i="1"/>
  <c r="J451" i="1"/>
  <c r="J455" i="1"/>
  <c r="J463" i="1"/>
  <c r="J465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H451" i="1"/>
  <c r="H452" i="1"/>
  <c r="H453" i="1"/>
  <c r="N453" i="1" s="1"/>
  <c r="H454" i="1"/>
  <c r="H455" i="1"/>
  <c r="H456" i="1"/>
  <c r="H457" i="1"/>
  <c r="N457" i="1" s="1"/>
  <c r="H458" i="1"/>
  <c r="H459" i="1"/>
  <c r="H460" i="1"/>
  <c r="H461" i="1"/>
  <c r="N461" i="1" s="1"/>
  <c r="H462" i="1"/>
  <c r="H463" i="1"/>
  <c r="H464" i="1"/>
  <c r="L464" i="1"/>
  <c r="H465" i="1"/>
  <c r="N465" i="1" s="1"/>
  <c r="L465" i="1"/>
  <c r="H466" i="1"/>
  <c r="L466" i="1"/>
  <c r="H467" i="1"/>
  <c r="N467" i="1" s="1"/>
  <c r="L467" i="1"/>
  <c r="H468" i="1"/>
  <c r="L468" i="1"/>
  <c r="H469" i="1"/>
  <c r="N469" i="1" s="1"/>
  <c r="L469" i="1"/>
  <c r="H470" i="1"/>
  <c r="L470" i="1"/>
  <c r="H471" i="1"/>
  <c r="N471" i="1" s="1"/>
  <c r="L471" i="1"/>
  <c r="J467" i="1"/>
  <c r="J468" i="1"/>
  <c r="J469" i="1"/>
  <c r="I447" i="1"/>
  <c r="H447" i="1"/>
  <c r="I429" i="1"/>
  <c r="H429" i="1"/>
  <c r="N429" i="1" s="1"/>
  <c r="I446" i="1"/>
  <c r="H446" i="1"/>
  <c r="I448" i="1"/>
  <c r="H448" i="1"/>
  <c r="M429" i="1"/>
  <c r="L429" i="1"/>
  <c r="I430" i="1"/>
  <c r="H430" i="1"/>
  <c r="I431" i="1"/>
  <c r="H431" i="1"/>
  <c r="I432" i="1"/>
  <c r="H432" i="1"/>
  <c r="I433" i="1"/>
  <c r="H433" i="1"/>
  <c r="I434" i="1"/>
  <c r="H434" i="1"/>
  <c r="I435" i="1"/>
  <c r="H435" i="1"/>
  <c r="I436" i="1"/>
  <c r="H436" i="1"/>
  <c r="I437" i="1"/>
  <c r="H437" i="1"/>
  <c r="N437" i="1" s="1"/>
  <c r="J446" i="1"/>
  <c r="J447" i="1"/>
  <c r="J448" i="1"/>
  <c r="I449" i="1"/>
  <c r="H449" i="1"/>
  <c r="M430" i="1"/>
  <c r="L430" i="1"/>
  <c r="K430" i="1"/>
  <c r="I438" i="1"/>
  <c r="H438" i="1"/>
  <c r="I439" i="1"/>
  <c r="H439" i="1"/>
  <c r="I440" i="1"/>
  <c r="H440" i="1"/>
  <c r="I441" i="1"/>
  <c r="H441" i="1"/>
  <c r="I442" i="1"/>
  <c r="H442" i="1"/>
  <c r="I443" i="1"/>
  <c r="H443" i="1"/>
  <c r="I444" i="1"/>
  <c r="H444" i="1"/>
  <c r="I445" i="1"/>
  <c r="H445" i="1"/>
  <c r="N445" i="1" s="1"/>
  <c r="K431" i="1"/>
  <c r="K432" i="1"/>
  <c r="K433" i="1"/>
  <c r="K434" i="1"/>
  <c r="K435" i="1"/>
  <c r="K436" i="1"/>
  <c r="K439" i="1"/>
  <c r="K440" i="1"/>
  <c r="K441" i="1"/>
  <c r="K448" i="1"/>
  <c r="K449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K438" i="1"/>
  <c r="K442" i="1"/>
  <c r="K443" i="1"/>
  <c r="K444" i="1"/>
  <c r="K446" i="1"/>
  <c r="K447" i="1"/>
  <c r="J417" i="1"/>
  <c r="K423" i="1"/>
  <c r="K424" i="1"/>
  <c r="K425" i="1"/>
  <c r="K426" i="1"/>
  <c r="K427" i="1"/>
  <c r="J415" i="1"/>
  <c r="J419" i="1"/>
  <c r="J421" i="1"/>
  <c r="J423" i="1"/>
  <c r="J425" i="1"/>
  <c r="J427" i="1"/>
  <c r="H407" i="1"/>
  <c r="N407" i="1" s="1"/>
  <c r="H408" i="1"/>
  <c r="N408" i="1" s="1"/>
  <c r="H409" i="1"/>
  <c r="H410" i="1"/>
  <c r="H411" i="1"/>
  <c r="N411" i="1" s="1"/>
  <c r="H412" i="1"/>
  <c r="N412" i="1" s="1"/>
  <c r="H413" i="1"/>
  <c r="H414" i="1"/>
  <c r="N414" i="1" s="1"/>
  <c r="H415" i="1"/>
  <c r="N415" i="1" s="1"/>
  <c r="H416" i="1"/>
  <c r="N416" i="1" s="1"/>
  <c r="H417" i="1"/>
  <c r="N417" i="1" s="1"/>
  <c r="H418" i="1"/>
  <c r="N418" i="1" s="1"/>
  <c r="H419" i="1"/>
  <c r="N419" i="1" s="1"/>
  <c r="H420" i="1"/>
  <c r="N420" i="1" s="1"/>
  <c r="H421" i="1"/>
  <c r="H422" i="1"/>
  <c r="H423" i="1"/>
  <c r="H424" i="1"/>
  <c r="H425" i="1"/>
  <c r="L425" i="1"/>
  <c r="H426" i="1"/>
  <c r="N426" i="1" s="1"/>
  <c r="L426" i="1"/>
  <c r="H427" i="1"/>
  <c r="L427" i="1"/>
  <c r="M386" i="1"/>
  <c r="L386" i="1"/>
  <c r="I389" i="1"/>
  <c r="H389" i="1"/>
  <c r="I393" i="1"/>
  <c r="H393" i="1"/>
  <c r="I405" i="1"/>
  <c r="H405" i="1"/>
  <c r="M385" i="1"/>
  <c r="L385" i="1"/>
  <c r="K386" i="1"/>
  <c r="M387" i="1"/>
  <c r="L387" i="1"/>
  <c r="J389" i="1"/>
  <c r="J393" i="1"/>
  <c r="J405" i="1"/>
  <c r="I390" i="1"/>
  <c r="H390" i="1"/>
  <c r="I391" i="1"/>
  <c r="H391" i="1"/>
  <c r="I392" i="1"/>
  <c r="H392" i="1"/>
  <c r="I394" i="1"/>
  <c r="H394" i="1"/>
  <c r="I395" i="1"/>
  <c r="H395" i="1"/>
  <c r="I396" i="1"/>
  <c r="H396" i="1"/>
  <c r="I397" i="1"/>
  <c r="H397" i="1"/>
  <c r="I398" i="1"/>
  <c r="H398" i="1"/>
  <c r="I399" i="1"/>
  <c r="H399" i="1"/>
  <c r="I400" i="1"/>
  <c r="H400" i="1"/>
  <c r="I401" i="1"/>
  <c r="H401" i="1"/>
  <c r="I402" i="1"/>
  <c r="H402" i="1"/>
  <c r="I403" i="1"/>
  <c r="H403" i="1"/>
  <c r="I404" i="1"/>
  <c r="H404" i="1"/>
  <c r="I385" i="1"/>
  <c r="H385" i="1"/>
  <c r="N385" i="1" s="1"/>
  <c r="I387" i="1"/>
  <c r="H387" i="1"/>
  <c r="N387" i="1" s="1"/>
  <c r="J385" i="1"/>
  <c r="I386" i="1"/>
  <c r="H386" i="1"/>
  <c r="N386" i="1" s="1"/>
  <c r="J387" i="1"/>
  <c r="I388" i="1"/>
  <c r="H388" i="1"/>
  <c r="N388" i="1" s="1"/>
  <c r="K392" i="1"/>
  <c r="K394" i="1"/>
  <c r="K396" i="1"/>
  <c r="K397" i="1"/>
  <c r="K398" i="1"/>
  <c r="K399" i="1"/>
  <c r="K400" i="1"/>
  <c r="K401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K389" i="1"/>
  <c r="K390" i="1"/>
  <c r="K391" i="1"/>
  <c r="K393" i="1"/>
  <c r="K395" i="1"/>
  <c r="K402" i="1"/>
  <c r="K403" i="1"/>
  <c r="K404" i="1"/>
  <c r="K405" i="1"/>
  <c r="J379" i="1"/>
  <c r="K374" i="1"/>
  <c r="K375" i="1"/>
  <c r="K376" i="1"/>
  <c r="K377" i="1"/>
  <c r="K378" i="1"/>
  <c r="K379" i="1"/>
  <c r="K380" i="1"/>
  <c r="K381" i="1"/>
  <c r="K382" i="1"/>
  <c r="K383" i="1"/>
  <c r="J380" i="1"/>
  <c r="J381" i="1"/>
  <c r="H363" i="1"/>
  <c r="N363" i="1" s="1"/>
  <c r="H364" i="1"/>
  <c r="N364" i="1" s="1"/>
  <c r="H365" i="1"/>
  <c r="N365" i="1" s="1"/>
  <c r="H366" i="1"/>
  <c r="N366" i="1" s="1"/>
  <c r="H367" i="1"/>
  <c r="N367" i="1" s="1"/>
  <c r="H368" i="1"/>
  <c r="N368" i="1" s="1"/>
  <c r="H369" i="1"/>
  <c r="N369" i="1" s="1"/>
  <c r="H370" i="1"/>
  <c r="N370" i="1" s="1"/>
  <c r="H371" i="1"/>
  <c r="N371" i="1" s="1"/>
  <c r="H372" i="1"/>
  <c r="N372" i="1" s="1"/>
  <c r="H373" i="1"/>
  <c r="N373" i="1" s="1"/>
  <c r="H374" i="1"/>
  <c r="N374" i="1" s="1"/>
  <c r="H375" i="1"/>
  <c r="L375" i="1"/>
  <c r="H376" i="1"/>
  <c r="N376" i="1" s="1"/>
  <c r="L376" i="1"/>
  <c r="H377" i="1"/>
  <c r="L377" i="1"/>
  <c r="H378" i="1"/>
  <c r="N378" i="1" s="1"/>
  <c r="L378" i="1"/>
  <c r="H379" i="1"/>
  <c r="L379" i="1"/>
  <c r="H380" i="1"/>
  <c r="N380" i="1" s="1"/>
  <c r="L380" i="1"/>
  <c r="H381" i="1"/>
  <c r="L381" i="1"/>
  <c r="H382" i="1"/>
  <c r="N382" i="1" s="1"/>
  <c r="L382" i="1"/>
  <c r="H383" i="1"/>
  <c r="L383" i="1"/>
  <c r="J365" i="1"/>
  <c r="J348" i="1"/>
  <c r="J351" i="1"/>
  <c r="J353" i="1"/>
  <c r="J360" i="1"/>
  <c r="K358" i="1"/>
  <c r="K359" i="1"/>
  <c r="K360" i="1"/>
  <c r="K361" i="1"/>
  <c r="H341" i="1"/>
  <c r="N341" i="1" s="1"/>
  <c r="H342" i="1"/>
  <c r="N342" i="1" s="1"/>
  <c r="H343" i="1"/>
  <c r="N343" i="1" s="1"/>
  <c r="H344" i="1"/>
  <c r="N344" i="1" s="1"/>
  <c r="H345" i="1"/>
  <c r="N345" i="1" s="1"/>
  <c r="H346" i="1"/>
  <c r="N346" i="1" s="1"/>
  <c r="H347" i="1"/>
  <c r="N347" i="1" s="1"/>
  <c r="H348" i="1"/>
  <c r="N348" i="1" s="1"/>
  <c r="H349" i="1"/>
  <c r="H350" i="1"/>
  <c r="N350" i="1" s="1"/>
  <c r="H351" i="1"/>
  <c r="N351" i="1" s="1"/>
  <c r="H352" i="1"/>
  <c r="N352" i="1" s="1"/>
  <c r="H353" i="1"/>
  <c r="N353" i="1" s="1"/>
  <c r="H354" i="1"/>
  <c r="H355" i="1"/>
  <c r="N355" i="1" s="1"/>
  <c r="H356" i="1"/>
  <c r="N356" i="1" s="1"/>
  <c r="H357" i="1"/>
  <c r="N357" i="1" s="1"/>
  <c r="H358" i="1"/>
  <c r="L358" i="1"/>
  <c r="H359" i="1"/>
  <c r="N359" i="1" s="1"/>
  <c r="L359" i="1"/>
  <c r="H360" i="1"/>
  <c r="L360" i="1"/>
  <c r="H361" i="1"/>
  <c r="N361" i="1" s="1"/>
  <c r="L361" i="1"/>
  <c r="J343" i="1"/>
  <c r="J357" i="1"/>
  <c r="J361" i="1"/>
  <c r="I319" i="1"/>
  <c r="H319" i="1"/>
  <c r="I339" i="1"/>
  <c r="H339" i="1"/>
  <c r="M319" i="1"/>
  <c r="L319" i="1"/>
  <c r="J319" i="1"/>
  <c r="I320" i="1"/>
  <c r="H320" i="1"/>
  <c r="N320" i="1" s="1"/>
  <c r="J339" i="1"/>
  <c r="M321" i="1"/>
  <c r="L321" i="1"/>
  <c r="K321" i="1"/>
  <c r="I337" i="1"/>
  <c r="H337" i="1"/>
  <c r="I338" i="1"/>
  <c r="H338" i="1"/>
  <c r="K319" i="1"/>
  <c r="M320" i="1"/>
  <c r="L320" i="1"/>
  <c r="I321" i="1"/>
  <c r="H321" i="1"/>
  <c r="I322" i="1"/>
  <c r="H322" i="1"/>
  <c r="I323" i="1"/>
  <c r="H323" i="1"/>
  <c r="I324" i="1"/>
  <c r="H324" i="1"/>
  <c r="I325" i="1"/>
  <c r="H325" i="1"/>
  <c r="I326" i="1"/>
  <c r="H326" i="1"/>
  <c r="I327" i="1"/>
  <c r="H327" i="1"/>
  <c r="I328" i="1"/>
  <c r="H328" i="1"/>
  <c r="I329" i="1"/>
  <c r="H329" i="1"/>
  <c r="I330" i="1"/>
  <c r="H330" i="1"/>
  <c r="I331" i="1"/>
  <c r="H331" i="1"/>
  <c r="I332" i="1"/>
  <c r="H332" i="1"/>
  <c r="I333" i="1"/>
  <c r="H333" i="1"/>
  <c r="I334" i="1"/>
  <c r="H334" i="1"/>
  <c r="I335" i="1"/>
  <c r="H335" i="1"/>
  <c r="I336" i="1"/>
  <c r="H336" i="1"/>
  <c r="N336" i="1" s="1"/>
  <c r="K322" i="1"/>
  <c r="K324" i="1"/>
  <c r="K327" i="1"/>
  <c r="K330" i="1"/>
  <c r="K331" i="1"/>
  <c r="K332" i="1"/>
  <c r="K333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K323" i="1"/>
  <c r="K325" i="1"/>
  <c r="K326" i="1"/>
  <c r="K328" i="1"/>
  <c r="K329" i="1"/>
  <c r="K334" i="1"/>
  <c r="K335" i="1"/>
  <c r="K337" i="1"/>
  <c r="K338" i="1"/>
  <c r="K339" i="1"/>
  <c r="I299" i="1"/>
  <c r="H299" i="1"/>
  <c r="I303" i="1"/>
  <c r="H303" i="1"/>
  <c r="I313" i="1"/>
  <c r="H313" i="1"/>
  <c r="I315" i="1"/>
  <c r="H315" i="1"/>
  <c r="I317" i="1"/>
  <c r="H317" i="1"/>
  <c r="M299" i="1"/>
  <c r="L299" i="1"/>
  <c r="M301" i="1"/>
  <c r="L301" i="1"/>
  <c r="I304" i="1"/>
  <c r="H304" i="1"/>
  <c r="I298" i="1"/>
  <c r="H298" i="1"/>
  <c r="N298" i="1" s="1"/>
  <c r="J299" i="1"/>
  <c r="I300" i="1"/>
  <c r="H300" i="1"/>
  <c r="N300" i="1" s="1"/>
  <c r="I302" i="1"/>
  <c r="H302" i="1"/>
  <c r="N302" i="1" s="1"/>
  <c r="J303" i="1"/>
  <c r="I306" i="1"/>
  <c r="H306" i="1"/>
  <c r="I307" i="1"/>
  <c r="H307" i="1"/>
  <c r="N307" i="1" s="1"/>
  <c r="J313" i="1"/>
  <c r="J315" i="1"/>
  <c r="J317" i="1"/>
  <c r="I297" i="1"/>
  <c r="H297" i="1"/>
  <c r="I301" i="1"/>
  <c r="H301" i="1"/>
  <c r="I314" i="1"/>
  <c r="H314" i="1"/>
  <c r="I316" i="1"/>
  <c r="H316" i="1"/>
  <c r="M297" i="1"/>
  <c r="L297" i="1"/>
  <c r="M303" i="1"/>
  <c r="L303" i="1"/>
  <c r="K303" i="1"/>
  <c r="I305" i="1"/>
  <c r="H305" i="1"/>
  <c r="K297" i="1"/>
  <c r="M298" i="1"/>
  <c r="L298" i="1"/>
  <c r="K299" i="1"/>
  <c r="M300" i="1"/>
  <c r="L300" i="1"/>
  <c r="K301" i="1"/>
  <c r="M302" i="1"/>
  <c r="L302" i="1"/>
  <c r="J304" i="1"/>
  <c r="J305" i="1"/>
  <c r="I308" i="1"/>
  <c r="H308" i="1"/>
  <c r="I309" i="1"/>
  <c r="H309" i="1"/>
  <c r="I310" i="1"/>
  <c r="H310" i="1"/>
  <c r="I311" i="1"/>
  <c r="H311" i="1"/>
  <c r="I312" i="1"/>
  <c r="H312" i="1"/>
  <c r="N312" i="1" s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K304" i="1"/>
  <c r="K306" i="1"/>
  <c r="K308" i="1"/>
  <c r="K309" i="1"/>
  <c r="K310" i="1"/>
  <c r="K311" i="1"/>
  <c r="K313" i="1"/>
  <c r="K314" i="1"/>
  <c r="K315" i="1"/>
  <c r="K316" i="1"/>
  <c r="K317" i="1"/>
  <c r="I277" i="1"/>
  <c r="H277" i="1"/>
  <c r="I279" i="1"/>
  <c r="H279" i="1"/>
  <c r="I281" i="1"/>
  <c r="H281" i="1"/>
  <c r="I283" i="1"/>
  <c r="H283" i="1"/>
  <c r="I285" i="1"/>
  <c r="H285" i="1"/>
  <c r="I287" i="1"/>
  <c r="H287" i="1"/>
  <c r="I289" i="1"/>
  <c r="H289" i="1"/>
  <c r="I291" i="1"/>
  <c r="H291" i="1"/>
  <c r="I295" i="1"/>
  <c r="H295" i="1"/>
  <c r="I276" i="1"/>
  <c r="H276" i="1"/>
  <c r="I293" i="1"/>
  <c r="H293" i="1"/>
  <c r="J276" i="1"/>
  <c r="J277" i="1"/>
  <c r="J279" i="1"/>
  <c r="J281" i="1"/>
  <c r="J283" i="1"/>
  <c r="J285" i="1"/>
  <c r="J287" i="1"/>
  <c r="J289" i="1"/>
  <c r="J291" i="1"/>
  <c r="J293" i="1"/>
  <c r="J295" i="1"/>
  <c r="M275" i="1"/>
  <c r="L275" i="1"/>
  <c r="K275" i="1"/>
  <c r="I278" i="1"/>
  <c r="H278" i="1"/>
  <c r="I280" i="1"/>
  <c r="H280" i="1"/>
  <c r="I282" i="1"/>
  <c r="H282" i="1"/>
  <c r="I284" i="1"/>
  <c r="H284" i="1"/>
  <c r="I286" i="1"/>
  <c r="H286" i="1"/>
  <c r="I288" i="1"/>
  <c r="H288" i="1"/>
  <c r="I290" i="1"/>
  <c r="H290" i="1"/>
  <c r="I292" i="1"/>
  <c r="H292" i="1"/>
  <c r="I294" i="1"/>
  <c r="H294" i="1"/>
  <c r="I275" i="1"/>
  <c r="H275" i="1"/>
  <c r="N275" i="1" s="1"/>
  <c r="K278" i="1"/>
  <c r="K279" i="1"/>
  <c r="K280" i="1"/>
  <c r="K281" i="1"/>
  <c r="K282" i="1"/>
  <c r="K283" i="1"/>
  <c r="K284" i="1"/>
  <c r="K287" i="1"/>
  <c r="K288" i="1"/>
  <c r="K289" i="1"/>
  <c r="K291" i="1"/>
  <c r="K294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K276" i="1"/>
  <c r="K277" i="1"/>
  <c r="K285" i="1"/>
  <c r="K286" i="1"/>
  <c r="K290" i="1"/>
  <c r="K292" i="1"/>
  <c r="K293" i="1"/>
  <c r="K295" i="1"/>
  <c r="M253" i="1"/>
  <c r="L253" i="1"/>
  <c r="M255" i="1"/>
  <c r="L255" i="1"/>
  <c r="I258" i="1"/>
  <c r="H258" i="1"/>
  <c r="I260" i="1"/>
  <c r="H260" i="1"/>
  <c r="I269" i="1"/>
  <c r="H269" i="1"/>
  <c r="I271" i="1"/>
  <c r="H271" i="1"/>
  <c r="I273" i="1"/>
  <c r="H273" i="1"/>
  <c r="I256" i="1"/>
  <c r="H256" i="1"/>
  <c r="N256" i="1" s="1"/>
  <c r="I262" i="1"/>
  <c r="H262" i="1"/>
  <c r="I264" i="1"/>
  <c r="H264" i="1"/>
  <c r="N264" i="1" s="1"/>
  <c r="K253" i="1"/>
  <c r="M254" i="1"/>
  <c r="L254" i="1"/>
  <c r="K255" i="1"/>
  <c r="M256" i="1"/>
  <c r="L256" i="1"/>
  <c r="J258" i="1"/>
  <c r="J260" i="1"/>
  <c r="I265" i="1"/>
  <c r="H265" i="1"/>
  <c r="N265" i="1" s="1"/>
  <c r="J269" i="1"/>
  <c r="J271" i="1"/>
  <c r="J273" i="1"/>
  <c r="I259" i="1"/>
  <c r="H259" i="1"/>
  <c r="I261" i="1"/>
  <c r="H261" i="1"/>
  <c r="N261" i="1" s="1"/>
  <c r="I270" i="1"/>
  <c r="H270" i="1"/>
  <c r="I272" i="1"/>
  <c r="H272" i="1"/>
  <c r="I254" i="1"/>
  <c r="H254" i="1"/>
  <c r="N254" i="1" s="1"/>
  <c r="I263" i="1"/>
  <c r="H263" i="1"/>
  <c r="I253" i="1"/>
  <c r="H253" i="1"/>
  <c r="J254" i="1"/>
  <c r="I255" i="1"/>
  <c r="H255" i="1"/>
  <c r="J256" i="1"/>
  <c r="I257" i="1"/>
  <c r="H257" i="1"/>
  <c r="N257" i="1" s="1"/>
  <c r="J262" i="1"/>
  <c r="J263" i="1"/>
  <c r="J264" i="1"/>
  <c r="I266" i="1"/>
  <c r="H266" i="1"/>
  <c r="I267" i="1"/>
  <c r="H267" i="1"/>
  <c r="I268" i="1"/>
  <c r="H268" i="1"/>
  <c r="N268" i="1" s="1"/>
  <c r="K269" i="1"/>
  <c r="K271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K258" i="1"/>
  <c r="K259" i="1"/>
  <c r="K260" i="1"/>
  <c r="K262" i="1"/>
  <c r="K263" i="1"/>
  <c r="K266" i="1"/>
  <c r="K267" i="1"/>
  <c r="K270" i="1"/>
  <c r="K272" i="1"/>
  <c r="K273" i="1"/>
  <c r="I231" i="1"/>
  <c r="H231" i="1"/>
  <c r="I233" i="1"/>
  <c r="H233" i="1"/>
  <c r="I235" i="1"/>
  <c r="H235" i="1"/>
  <c r="I237" i="1"/>
  <c r="H237" i="1"/>
  <c r="I239" i="1"/>
  <c r="H239" i="1"/>
  <c r="I241" i="1"/>
  <c r="H241" i="1"/>
  <c r="I243" i="1"/>
  <c r="H243" i="1"/>
  <c r="I245" i="1"/>
  <c r="H245" i="1"/>
  <c r="I247" i="1"/>
  <c r="H247" i="1"/>
  <c r="I249" i="1"/>
  <c r="H249" i="1"/>
  <c r="I250" i="1"/>
  <c r="H250" i="1"/>
  <c r="M231" i="1"/>
  <c r="K231" i="1"/>
  <c r="L231" i="1"/>
  <c r="J231" i="1"/>
  <c r="J233" i="1"/>
  <c r="J235" i="1"/>
  <c r="J237" i="1"/>
  <c r="J239" i="1"/>
  <c r="J241" i="1"/>
  <c r="J243" i="1"/>
  <c r="J245" i="1"/>
  <c r="J247" i="1"/>
  <c r="J249" i="1"/>
  <c r="I232" i="1"/>
  <c r="H232" i="1"/>
  <c r="I234" i="1"/>
  <c r="H234" i="1"/>
  <c r="N234" i="1" s="1"/>
  <c r="I236" i="1"/>
  <c r="H236" i="1"/>
  <c r="I238" i="1"/>
  <c r="H238" i="1"/>
  <c r="I240" i="1"/>
  <c r="H240" i="1"/>
  <c r="I242" i="1"/>
  <c r="H242" i="1"/>
  <c r="N242" i="1" s="1"/>
  <c r="I244" i="1"/>
  <c r="H244" i="1"/>
  <c r="I246" i="1"/>
  <c r="H246" i="1"/>
  <c r="I248" i="1"/>
  <c r="H248" i="1"/>
  <c r="I251" i="1"/>
  <c r="H251" i="1"/>
  <c r="N251" i="1" s="1"/>
  <c r="J232" i="1"/>
  <c r="J234" i="1"/>
  <c r="J236" i="1"/>
  <c r="J238" i="1"/>
  <c r="J240" i="1"/>
  <c r="J242" i="1"/>
  <c r="J244" i="1"/>
  <c r="J246" i="1"/>
  <c r="J248" i="1"/>
  <c r="J250" i="1"/>
  <c r="K232" i="1"/>
  <c r="K235" i="1"/>
  <c r="K238" i="1"/>
  <c r="K239" i="1"/>
  <c r="K241" i="1"/>
  <c r="K244" i="1"/>
  <c r="K245" i="1"/>
  <c r="K247" i="1"/>
  <c r="K249" i="1"/>
  <c r="K250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K233" i="1"/>
  <c r="K234" i="1"/>
  <c r="K236" i="1"/>
  <c r="K237" i="1"/>
  <c r="K240" i="1"/>
  <c r="K242" i="1"/>
  <c r="K243" i="1"/>
  <c r="K246" i="1"/>
  <c r="K248" i="1"/>
  <c r="K251" i="1"/>
  <c r="J227" i="1"/>
  <c r="J228" i="1"/>
  <c r="K223" i="1"/>
  <c r="K224" i="1"/>
  <c r="K225" i="1"/>
  <c r="K226" i="1"/>
  <c r="K227" i="1"/>
  <c r="K228" i="1"/>
  <c r="K229" i="1"/>
  <c r="J211" i="1"/>
  <c r="J214" i="1"/>
  <c r="J217" i="1"/>
  <c r="H209" i="1"/>
  <c r="N209" i="1" s="1"/>
  <c r="H210" i="1"/>
  <c r="H211" i="1"/>
  <c r="N211" i="1" s="1"/>
  <c r="H212" i="1"/>
  <c r="N212" i="1" s="1"/>
  <c r="H213" i="1"/>
  <c r="N213" i="1" s="1"/>
  <c r="H214" i="1"/>
  <c r="N214" i="1" s="1"/>
  <c r="H215" i="1"/>
  <c r="H216" i="1"/>
  <c r="N216" i="1" s="1"/>
  <c r="H217" i="1"/>
  <c r="N217" i="1" s="1"/>
  <c r="H218" i="1"/>
  <c r="N218" i="1" s="1"/>
  <c r="H219" i="1"/>
  <c r="N219" i="1" s="1"/>
  <c r="H220" i="1"/>
  <c r="N220" i="1" s="1"/>
  <c r="H221" i="1"/>
  <c r="N221" i="1" s="1"/>
  <c r="H222" i="1"/>
  <c r="N222" i="1" s="1"/>
  <c r="H223" i="1"/>
  <c r="N223" i="1" s="1"/>
  <c r="H224" i="1"/>
  <c r="N224" i="1" s="1"/>
  <c r="H225" i="1"/>
  <c r="N225" i="1" s="1"/>
  <c r="H226" i="1"/>
  <c r="N226" i="1" s="1"/>
  <c r="L226" i="1"/>
  <c r="H227" i="1"/>
  <c r="N227" i="1" s="1"/>
  <c r="L227" i="1"/>
  <c r="H228" i="1"/>
  <c r="L228" i="1"/>
  <c r="H229" i="1"/>
  <c r="L229" i="1"/>
  <c r="J221" i="1"/>
  <c r="I202" i="1"/>
  <c r="H202" i="1"/>
  <c r="I205" i="1"/>
  <c r="H205" i="1"/>
  <c r="I207" i="1"/>
  <c r="H207" i="1"/>
  <c r="I188" i="1"/>
  <c r="H188" i="1"/>
  <c r="I189" i="1"/>
  <c r="H189" i="1"/>
  <c r="I190" i="1"/>
  <c r="H190" i="1"/>
  <c r="N190" i="1" s="1"/>
  <c r="I191" i="1"/>
  <c r="H191" i="1"/>
  <c r="N191" i="1" s="1"/>
  <c r="J202" i="1"/>
  <c r="J205" i="1"/>
  <c r="J207" i="1"/>
  <c r="I187" i="1"/>
  <c r="H187" i="1"/>
  <c r="I203" i="1"/>
  <c r="H203" i="1"/>
  <c r="I204" i="1"/>
  <c r="H204" i="1"/>
  <c r="N204" i="1" s="1"/>
  <c r="I206" i="1"/>
  <c r="H206" i="1"/>
  <c r="M187" i="1"/>
  <c r="L187" i="1"/>
  <c r="K187" i="1"/>
  <c r="M188" i="1"/>
  <c r="L188" i="1"/>
  <c r="K188" i="1"/>
  <c r="M189" i="1"/>
  <c r="L189" i="1"/>
  <c r="K189" i="1"/>
  <c r="I192" i="1"/>
  <c r="H192" i="1"/>
  <c r="I193" i="1"/>
  <c r="H193" i="1"/>
  <c r="I194" i="1"/>
  <c r="H194" i="1"/>
  <c r="N194" i="1" s="1"/>
  <c r="I195" i="1"/>
  <c r="H195" i="1"/>
  <c r="I196" i="1"/>
  <c r="H196" i="1"/>
  <c r="N196" i="1" s="1"/>
  <c r="I197" i="1"/>
  <c r="H197" i="1"/>
  <c r="I198" i="1"/>
  <c r="H198" i="1"/>
  <c r="I199" i="1"/>
  <c r="H199" i="1"/>
  <c r="I200" i="1"/>
  <c r="H200" i="1"/>
  <c r="N200" i="1" s="1"/>
  <c r="I201" i="1"/>
  <c r="H201" i="1"/>
  <c r="N201" i="1" s="1"/>
  <c r="K192" i="1"/>
  <c r="K193" i="1"/>
  <c r="K194" i="1"/>
  <c r="K196" i="1"/>
  <c r="K197" i="1"/>
  <c r="K202" i="1"/>
  <c r="K203" i="1"/>
  <c r="K204" i="1"/>
  <c r="K205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K190" i="1"/>
  <c r="K195" i="1"/>
  <c r="K198" i="1"/>
  <c r="K199" i="1"/>
  <c r="K200" i="1"/>
  <c r="K206" i="1"/>
  <c r="K207" i="1"/>
  <c r="I174" i="1"/>
  <c r="H174" i="1"/>
  <c r="I176" i="1"/>
  <c r="H176" i="1"/>
  <c r="I178" i="1"/>
  <c r="H178" i="1"/>
  <c r="I180" i="1"/>
  <c r="H180" i="1"/>
  <c r="N180" i="1" s="1"/>
  <c r="I182" i="1"/>
  <c r="H182" i="1"/>
  <c r="I185" i="1"/>
  <c r="H185" i="1"/>
  <c r="N185" i="1" s="1"/>
  <c r="I165" i="1"/>
  <c r="H165" i="1"/>
  <c r="N165" i="1" s="1"/>
  <c r="I167" i="1"/>
  <c r="H167" i="1"/>
  <c r="I168" i="1"/>
  <c r="H168" i="1"/>
  <c r="N168" i="1" s="1"/>
  <c r="J174" i="1"/>
  <c r="J176" i="1"/>
  <c r="J178" i="1"/>
  <c r="J180" i="1"/>
  <c r="J182" i="1"/>
  <c r="J185" i="1"/>
  <c r="I166" i="1"/>
  <c r="H166" i="1"/>
  <c r="I173" i="1"/>
  <c r="H173" i="1"/>
  <c r="N173" i="1" s="1"/>
  <c r="I175" i="1"/>
  <c r="H175" i="1"/>
  <c r="I177" i="1"/>
  <c r="H177" i="1"/>
  <c r="I179" i="1"/>
  <c r="H179" i="1"/>
  <c r="I181" i="1"/>
  <c r="H181" i="1"/>
  <c r="I183" i="1"/>
  <c r="H183" i="1"/>
  <c r="I184" i="1"/>
  <c r="H184" i="1"/>
  <c r="M166" i="1"/>
  <c r="L166" i="1"/>
  <c r="M165" i="1"/>
  <c r="L165" i="1"/>
  <c r="K166" i="1"/>
  <c r="M167" i="1"/>
  <c r="L167" i="1"/>
  <c r="K167" i="1"/>
  <c r="I169" i="1"/>
  <c r="H169" i="1"/>
  <c r="I170" i="1"/>
  <c r="H170" i="1"/>
  <c r="I171" i="1"/>
  <c r="H171" i="1"/>
  <c r="I172" i="1"/>
  <c r="H172" i="1"/>
  <c r="K174" i="1"/>
  <c r="K175" i="1"/>
  <c r="K176" i="1"/>
  <c r="K177" i="1"/>
  <c r="K178" i="1"/>
  <c r="K180" i="1"/>
  <c r="K182" i="1"/>
  <c r="K183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K169" i="1"/>
  <c r="K170" i="1"/>
  <c r="K171" i="1"/>
  <c r="K173" i="1"/>
  <c r="K179" i="1"/>
  <c r="K181" i="1"/>
  <c r="K184" i="1"/>
  <c r="K185" i="1"/>
  <c r="J160" i="1"/>
  <c r="J162" i="1"/>
  <c r="K157" i="1"/>
  <c r="K158" i="1"/>
  <c r="K159" i="1"/>
  <c r="K160" i="1"/>
  <c r="K161" i="1"/>
  <c r="K162" i="1"/>
  <c r="K163" i="1"/>
  <c r="J143" i="1"/>
  <c r="J146" i="1"/>
  <c r="J153" i="1"/>
  <c r="J155" i="1"/>
  <c r="J156" i="1"/>
  <c r="J157" i="1"/>
  <c r="J158" i="1"/>
  <c r="H143" i="1"/>
  <c r="N143" i="1" s="1"/>
  <c r="H144" i="1"/>
  <c r="N144" i="1" s="1"/>
  <c r="H145" i="1"/>
  <c r="N145" i="1" s="1"/>
  <c r="H146" i="1"/>
  <c r="N146" i="1" s="1"/>
  <c r="H147" i="1"/>
  <c r="N147" i="1" s="1"/>
  <c r="H148" i="1"/>
  <c r="N148" i="1" s="1"/>
  <c r="H149" i="1"/>
  <c r="N149" i="1" s="1"/>
  <c r="H150" i="1"/>
  <c r="N150" i="1" s="1"/>
  <c r="H151" i="1"/>
  <c r="N151" i="1" s="1"/>
  <c r="H152" i="1"/>
  <c r="N152" i="1" s="1"/>
  <c r="H153" i="1"/>
  <c r="N153" i="1" s="1"/>
  <c r="H154" i="1"/>
  <c r="N154" i="1" s="1"/>
  <c r="H155" i="1"/>
  <c r="N155" i="1" s="1"/>
  <c r="H156" i="1"/>
  <c r="N156" i="1" s="1"/>
  <c r="H157" i="1"/>
  <c r="N157" i="1" s="1"/>
  <c r="H158" i="1"/>
  <c r="N158" i="1" s="1"/>
  <c r="H159" i="1"/>
  <c r="N159" i="1" s="1"/>
  <c r="H160" i="1"/>
  <c r="N160" i="1" s="1"/>
  <c r="L160" i="1"/>
  <c r="H161" i="1"/>
  <c r="L161" i="1"/>
  <c r="H162" i="1"/>
  <c r="L162" i="1"/>
  <c r="H163" i="1"/>
  <c r="L163" i="1"/>
  <c r="L124" i="1"/>
  <c r="M124" i="1"/>
  <c r="L125" i="1"/>
  <c r="M131" i="1"/>
  <c r="M132" i="1"/>
  <c r="L131" i="1"/>
  <c r="M133" i="1"/>
  <c r="M125" i="1"/>
  <c r="L126" i="1"/>
  <c r="L127" i="1"/>
  <c r="L128" i="1"/>
  <c r="J131" i="1"/>
  <c r="J133" i="1"/>
  <c r="J136" i="1"/>
  <c r="J138" i="1"/>
  <c r="K132" i="1"/>
  <c r="K133" i="1"/>
  <c r="K134" i="1"/>
  <c r="K135" i="1"/>
  <c r="K136" i="1"/>
  <c r="K137" i="1"/>
  <c r="K138" i="1"/>
  <c r="K139" i="1"/>
  <c r="K140" i="1"/>
  <c r="K141" i="1"/>
  <c r="J121" i="1"/>
  <c r="J124" i="1"/>
  <c r="J127" i="1"/>
  <c r="J128" i="1"/>
  <c r="J135" i="1"/>
  <c r="J140" i="1"/>
  <c r="J141" i="1"/>
  <c r="H121" i="1"/>
  <c r="N121" i="1" s="1"/>
  <c r="H122" i="1"/>
  <c r="N122" i="1" s="1"/>
  <c r="H123" i="1"/>
  <c r="N123" i="1" s="1"/>
  <c r="H124" i="1"/>
  <c r="N124" i="1" s="1"/>
  <c r="H125" i="1"/>
  <c r="N125" i="1" s="1"/>
  <c r="H126" i="1"/>
  <c r="N126" i="1" s="1"/>
  <c r="H127" i="1"/>
  <c r="N127" i="1" s="1"/>
  <c r="H128" i="1"/>
  <c r="N128" i="1" s="1"/>
  <c r="H129" i="1"/>
  <c r="N129" i="1" s="1"/>
  <c r="H130" i="1"/>
  <c r="N130" i="1" s="1"/>
  <c r="H131" i="1"/>
  <c r="N131" i="1" s="1"/>
  <c r="H132" i="1"/>
  <c r="N132" i="1" s="1"/>
  <c r="H133" i="1"/>
  <c r="N133" i="1" s="1"/>
  <c r="H134" i="1"/>
  <c r="N134" i="1" s="1"/>
  <c r="H135" i="1"/>
  <c r="N135" i="1" s="1"/>
  <c r="H136" i="1"/>
  <c r="N136" i="1" s="1"/>
  <c r="H137" i="1"/>
  <c r="N137" i="1" s="1"/>
  <c r="L137" i="1"/>
  <c r="H138" i="1"/>
  <c r="L138" i="1"/>
  <c r="H139" i="1"/>
  <c r="L139" i="1"/>
  <c r="H140" i="1"/>
  <c r="L140" i="1"/>
  <c r="H141" i="1"/>
  <c r="N141" i="1" s="1"/>
  <c r="L141" i="1"/>
  <c r="M100" i="1"/>
  <c r="L101" i="1"/>
  <c r="M106" i="1"/>
  <c r="M107" i="1"/>
  <c r="L108" i="1"/>
  <c r="L109" i="1"/>
  <c r="M113" i="1"/>
  <c r="M114" i="1"/>
  <c r="N101" i="1"/>
  <c r="M101" i="1"/>
  <c r="L102" i="1"/>
  <c r="M108" i="1"/>
  <c r="M109" i="1"/>
  <c r="L110" i="1"/>
  <c r="M112" i="1"/>
  <c r="M102" i="1"/>
  <c r="M110" i="1"/>
  <c r="L99" i="1"/>
  <c r="M99" i="1"/>
  <c r="P100" i="1"/>
  <c r="O100" i="1"/>
  <c r="O101" i="1"/>
  <c r="J107" i="1"/>
  <c r="J109" i="1"/>
  <c r="J111" i="1"/>
  <c r="J119" i="1"/>
  <c r="K111" i="1"/>
  <c r="K112" i="1"/>
  <c r="K113" i="1"/>
  <c r="K114" i="1"/>
  <c r="K115" i="1"/>
  <c r="K116" i="1"/>
  <c r="K117" i="1"/>
  <c r="K118" i="1"/>
  <c r="K119" i="1"/>
  <c r="J99" i="1"/>
  <c r="J101" i="1"/>
  <c r="J103" i="1"/>
  <c r="J105" i="1"/>
  <c r="J113" i="1"/>
  <c r="J115" i="1"/>
  <c r="J117" i="1"/>
  <c r="H102" i="1"/>
  <c r="N102" i="1" s="1"/>
  <c r="H103" i="1"/>
  <c r="N103" i="1" s="1"/>
  <c r="H104" i="1"/>
  <c r="N104" i="1" s="1"/>
  <c r="H105" i="1"/>
  <c r="N105" i="1" s="1"/>
  <c r="H106" i="1"/>
  <c r="H107" i="1"/>
  <c r="N107" i="1" s="1"/>
  <c r="H108" i="1"/>
  <c r="N108" i="1" s="1"/>
  <c r="H109" i="1"/>
  <c r="N109" i="1" s="1"/>
  <c r="H110" i="1"/>
  <c r="N110" i="1" s="1"/>
  <c r="H111" i="1"/>
  <c r="H112" i="1"/>
  <c r="H113" i="1"/>
  <c r="N113" i="1" s="1"/>
  <c r="H114" i="1"/>
  <c r="H115" i="1"/>
  <c r="H116" i="1"/>
  <c r="H117" i="1"/>
  <c r="N117" i="1" s="1"/>
  <c r="L117" i="1"/>
  <c r="H118" i="1"/>
  <c r="L118" i="1"/>
  <c r="H119" i="1"/>
  <c r="N119" i="1" s="1"/>
  <c r="L119" i="1"/>
  <c r="I79" i="1"/>
  <c r="H79" i="1"/>
  <c r="I81" i="1"/>
  <c r="H81" i="1"/>
  <c r="N81" i="1" s="1"/>
  <c r="I85" i="1"/>
  <c r="H85" i="1"/>
  <c r="I86" i="1"/>
  <c r="H86" i="1"/>
  <c r="I89" i="1"/>
  <c r="H89" i="1"/>
  <c r="I92" i="1"/>
  <c r="H92" i="1"/>
  <c r="N92" i="1" s="1"/>
  <c r="I94" i="1"/>
  <c r="H94" i="1"/>
  <c r="I95" i="1"/>
  <c r="H95" i="1"/>
  <c r="M77" i="1"/>
  <c r="L77" i="1"/>
  <c r="K77" i="1"/>
  <c r="I78" i="1"/>
  <c r="H78" i="1"/>
  <c r="I83" i="1"/>
  <c r="H83" i="1"/>
  <c r="I88" i="1"/>
  <c r="H88" i="1"/>
  <c r="I96" i="1"/>
  <c r="H96" i="1"/>
  <c r="J78" i="1"/>
  <c r="J83" i="1"/>
  <c r="J85" i="1"/>
  <c r="J86" i="1"/>
  <c r="J89" i="1"/>
  <c r="J92" i="1"/>
  <c r="J94" i="1"/>
  <c r="J95" i="1"/>
  <c r="J96" i="1"/>
  <c r="I77" i="1"/>
  <c r="H77" i="1"/>
  <c r="I80" i="1"/>
  <c r="H80" i="1"/>
  <c r="I82" i="1"/>
  <c r="H82" i="1"/>
  <c r="I84" i="1"/>
  <c r="H84" i="1"/>
  <c r="N84" i="1" s="1"/>
  <c r="I87" i="1"/>
  <c r="H87" i="1"/>
  <c r="I90" i="1"/>
  <c r="H90" i="1"/>
  <c r="N90" i="1" s="1"/>
  <c r="I91" i="1"/>
  <c r="H91" i="1"/>
  <c r="I93" i="1"/>
  <c r="H93" i="1"/>
  <c r="I97" i="1"/>
  <c r="H97" i="1"/>
  <c r="J77" i="1"/>
  <c r="J79" i="1"/>
  <c r="J81" i="1"/>
  <c r="J84" i="1"/>
  <c r="J88" i="1"/>
  <c r="K80" i="1"/>
  <c r="K81" i="1"/>
  <c r="K84" i="1"/>
  <c r="K86" i="1"/>
  <c r="K88" i="1"/>
  <c r="K90" i="1"/>
  <c r="K92" i="1"/>
  <c r="K93" i="1"/>
  <c r="K95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K78" i="1"/>
  <c r="K79" i="1"/>
  <c r="K82" i="1"/>
  <c r="K83" i="1"/>
  <c r="K85" i="1"/>
  <c r="K87" i="1"/>
  <c r="K89" i="1"/>
  <c r="K91" i="1"/>
  <c r="K94" i="1"/>
  <c r="K96" i="1"/>
  <c r="K97" i="1"/>
  <c r="K75" i="1"/>
  <c r="K55" i="1"/>
  <c r="I55" i="1"/>
  <c r="H55" i="1"/>
  <c r="N55" i="1" s="1"/>
  <c r="I56" i="1"/>
  <c r="H56" i="1"/>
  <c r="I57" i="1"/>
  <c r="H57" i="1"/>
  <c r="I58" i="1"/>
  <c r="H58" i="1"/>
  <c r="N58" i="1" s="1"/>
  <c r="J55" i="1"/>
  <c r="I59" i="1"/>
  <c r="H59" i="1"/>
  <c r="I60" i="1"/>
  <c r="H60" i="1"/>
  <c r="I61" i="1"/>
  <c r="H61" i="1"/>
  <c r="I62" i="1"/>
  <c r="H62" i="1"/>
  <c r="I63" i="1"/>
  <c r="H63" i="1"/>
  <c r="I64" i="1"/>
  <c r="H64" i="1"/>
  <c r="I65" i="1"/>
  <c r="H65" i="1"/>
  <c r="I66" i="1"/>
  <c r="H66" i="1"/>
  <c r="I67" i="1"/>
  <c r="H67" i="1"/>
  <c r="I68" i="1"/>
  <c r="H68" i="1"/>
  <c r="I69" i="1"/>
  <c r="H69" i="1"/>
  <c r="I70" i="1"/>
  <c r="H70" i="1"/>
  <c r="I71" i="1"/>
  <c r="H71" i="1"/>
  <c r="J74" i="1"/>
  <c r="K56" i="1"/>
  <c r="K59" i="1"/>
  <c r="K62" i="1"/>
  <c r="K64" i="1"/>
  <c r="K65" i="1"/>
  <c r="K66" i="1"/>
  <c r="K68" i="1"/>
  <c r="K71" i="1"/>
  <c r="K72" i="1"/>
  <c r="K73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H72" i="1"/>
  <c r="L72" i="1"/>
  <c r="H73" i="1"/>
  <c r="N73" i="1" s="1"/>
  <c r="L73" i="1"/>
  <c r="H74" i="1"/>
  <c r="L74" i="1"/>
  <c r="H75" i="1"/>
  <c r="N75" i="1" s="1"/>
  <c r="L75" i="1"/>
  <c r="J75" i="1"/>
  <c r="K57" i="1"/>
  <c r="K60" i="1"/>
  <c r="K61" i="1"/>
  <c r="K63" i="1"/>
  <c r="K67" i="1"/>
  <c r="K69" i="1"/>
  <c r="K70" i="1"/>
  <c r="K74" i="1"/>
  <c r="K37" i="1"/>
  <c r="H53" i="1"/>
  <c r="L53" i="1"/>
  <c r="K53" i="1"/>
  <c r="J47" i="1"/>
  <c r="J50" i="1"/>
  <c r="I35" i="1"/>
  <c r="H35" i="1"/>
  <c r="I37" i="1"/>
  <c r="H37" i="1"/>
  <c r="N37" i="1" s="1"/>
  <c r="I39" i="1"/>
  <c r="H39" i="1"/>
  <c r="I41" i="1"/>
  <c r="H41" i="1"/>
  <c r="N41" i="1" s="1"/>
  <c r="J35" i="1"/>
  <c r="J37" i="1"/>
  <c r="I42" i="1"/>
  <c r="H42" i="1"/>
  <c r="I43" i="1"/>
  <c r="H43" i="1"/>
  <c r="I44" i="1"/>
  <c r="H44" i="1"/>
  <c r="I45" i="1"/>
  <c r="H45" i="1"/>
  <c r="I46" i="1"/>
  <c r="H46" i="1"/>
  <c r="I34" i="1"/>
  <c r="H34" i="1"/>
  <c r="I36" i="1"/>
  <c r="H36" i="1"/>
  <c r="I38" i="1"/>
  <c r="H38" i="1"/>
  <c r="I40" i="1"/>
  <c r="H40" i="1"/>
  <c r="J38" i="1"/>
  <c r="J39" i="1"/>
  <c r="J40" i="1"/>
  <c r="J41" i="1"/>
  <c r="J48" i="1"/>
  <c r="J49" i="1"/>
  <c r="K35" i="1"/>
  <c r="K38" i="1"/>
  <c r="K39" i="1"/>
  <c r="K42" i="1"/>
  <c r="K43" i="1"/>
  <c r="K50" i="1"/>
  <c r="K51" i="1"/>
  <c r="K52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H47" i="1"/>
  <c r="N47" i="1" s="1"/>
  <c r="L47" i="1"/>
  <c r="H48" i="1"/>
  <c r="L48" i="1"/>
  <c r="H49" i="1"/>
  <c r="N49" i="1" s="1"/>
  <c r="L49" i="1"/>
  <c r="H50" i="1"/>
  <c r="L50" i="1"/>
  <c r="H51" i="1"/>
  <c r="N51" i="1" s="1"/>
  <c r="L51" i="1"/>
  <c r="H52" i="1"/>
  <c r="N52" i="1" s="1"/>
  <c r="L52" i="1"/>
  <c r="J51" i="1"/>
  <c r="J52" i="1"/>
  <c r="K34" i="1"/>
  <c r="K36" i="1"/>
  <c r="K40" i="1"/>
  <c r="K44" i="1"/>
  <c r="K45" i="1"/>
  <c r="K46" i="1"/>
  <c r="K48" i="1"/>
  <c r="K49" i="1"/>
  <c r="J33" i="1"/>
  <c r="F33" i="1"/>
  <c r="K33" i="1" s="1"/>
  <c r="N33" i="1" s="1"/>
  <c r="N70" i="1" l="1"/>
  <c r="N68" i="1"/>
  <c r="N64" i="1"/>
  <c r="N62" i="1"/>
  <c r="P62" i="1" s="1"/>
  <c r="N77" i="1"/>
  <c r="Q100" i="1"/>
  <c r="N138" i="1"/>
  <c r="N229" i="1"/>
  <c r="P229" i="1" s="1"/>
  <c r="N292" i="1"/>
  <c r="N284" i="1"/>
  <c r="N280" i="1"/>
  <c r="N291" i="1"/>
  <c r="O291" i="1" s="1"/>
  <c r="N283" i="1"/>
  <c r="N279" i="1"/>
  <c r="N304" i="1"/>
  <c r="N315" i="1"/>
  <c r="P315" i="1" s="1"/>
  <c r="N337" i="1"/>
  <c r="N398" i="1"/>
  <c r="P398" i="1" s="1"/>
  <c r="N422" i="1"/>
  <c r="N410" i="1"/>
  <c r="O410" i="1" s="1"/>
  <c r="Q410" i="1" s="1"/>
  <c r="N115" i="1"/>
  <c r="N111" i="1"/>
  <c r="N215" i="1"/>
  <c r="N310" i="1"/>
  <c r="O310" i="1" s="1"/>
  <c r="N301" i="1"/>
  <c r="N321" i="1"/>
  <c r="N358" i="1"/>
  <c r="N354" i="1"/>
  <c r="O354" i="1" s="1"/>
  <c r="Q354" i="1" s="1"/>
  <c r="N421" i="1"/>
  <c r="N413" i="1"/>
  <c r="N409" i="1"/>
  <c r="N463" i="1"/>
  <c r="P463" i="1" s="1"/>
  <c r="N459" i="1"/>
  <c r="P459" i="1" s="1"/>
  <c r="N455" i="1"/>
  <c r="N451" i="1"/>
  <c r="N93" i="1"/>
  <c r="O93" i="1" s="1"/>
  <c r="N86" i="1"/>
  <c r="N106" i="1"/>
  <c r="O99" i="1"/>
  <c r="N172" i="1"/>
  <c r="O172" i="1" s="1"/>
  <c r="N176" i="1"/>
  <c r="N192" i="1"/>
  <c r="N188" i="1"/>
  <c r="N205" i="1"/>
  <c r="O205" i="1" s="1"/>
  <c r="N210" i="1"/>
  <c r="N305" i="1"/>
  <c r="N349" i="1"/>
  <c r="N489" i="1"/>
  <c r="O489" i="1" s="1"/>
  <c r="N487" i="1"/>
  <c r="O487" i="1" s="1"/>
  <c r="N484" i="1"/>
  <c r="N480" i="1"/>
  <c r="O480" i="1" s="1"/>
  <c r="N476" i="1"/>
  <c r="O476" i="1" s="1"/>
  <c r="Q476" i="1" s="1"/>
  <c r="N492" i="1"/>
  <c r="P492" i="1" s="1"/>
  <c r="N473" i="1"/>
  <c r="O473" i="1" s="1"/>
  <c r="Q473" i="1" s="1"/>
  <c r="N468" i="1"/>
  <c r="N442" i="1"/>
  <c r="O442" i="1" s="1"/>
  <c r="N440" i="1"/>
  <c r="P440" i="1" s="1"/>
  <c r="N438" i="1"/>
  <c r="O438" i="1" s="1"/>
  <c r="N434" i="1"/>
  <c r="O434" i="1" s="1"/>
  <c r="N430" i="1"/>
  <c r="P430" i="1" s="1"/>
  <c r="N424" i="1"/>
  <c r="N423" i="1"/>
  <c r="N402" i="1"/>
  <c r="N400" i="1"/>
  <c r="O400" i="1" s="1"/>
  <c r="N396" i="1"/>
  <c r="O396" i="1" s="1"/>
  <c r="N391" i="1"/>
  <c r="P391" i="1" s="1"/>
  <c r="N405" i="1"/>
  <c r="N389" i="1"/>
  <c r="O389" i="1" s="1"/>
  <c r="N383" i="1"/>
  <c r="P383" i="1" s="1"/>
  <c r="N381" i="1"/>
  <c r="N379" i="1"/>
  <c r="O379" i="1" s="1"/>
  <c r="N377" i="1"/>
  <c r="P377" i="1" s="1"/>
  <c r="N375" i="1"/>
  <c r="N360" i="1"/>
  <c r="N334" i="1"/>
  <c r="N332" i="1"/>
  <c r="P332" i="1" s="1"/>
  <c r="N328" i="1"/>
  <c r="P328" i="1" s="1"/>
  <c r="N324" i="1"/>
  <c r="P324" i="1" s="1"/>
  <c r="N322" i="1"/>
  <c r="N339" i="1"/>
  <c r="P339" i="1" s="1"/>
  <c r="N276" i="1"/>
  <c r="N288" i="1"/>
  <c r="N270" i="1"/>
  <c r="N253" i="1"/>
  <c r="P253" i="1" s="1"/>
  <c r="N249" i="1"/>
  <c r="N241" i="1"/>
  <c r="N237" i="1"/>
  <c r="P237" i="1" s="1"/>
  <c r="N184" i="1"/>
  <c r="P184" i="1" s="1"/>
  <c r="N163" i="1"/>
  <c r="N161" i="1"/>
  <c r="P489" i="1"/>
  <c r="O486" i="1"/>
  <c r="P486" i="1"/>
  <c r="P480" i="1"/>
  <c r="P476" i="1"/>
  <c r="P473" i="1"/>
  <c r="N493" i="1"/>
  <c r="N490" i="1"/>
  <c r="N488" i="1"/>
  <c r="N485" i="1"/>
  <c r="N483" i="1"/>
  <c r="N481" i="1"/>
  <c r="N479" i="1"/>
  <c r="N477" i="1"/>
  <c r="N474" i="1"/>
  <c r="P491" i="1"/>
  <c r="O491" i="1"/>
  <c r="P484" i="1"/>
  <c r="O484" i="1"/>
  <c r="N482" i="1"/>
  <c r="O478" i="1"/>
  <c r="P478" i="1"/>
  <c r="O492" i="1"/>
  <c r="N475" i="1"/>
  <c r="P457" i="1"/>
  <c r="O457" i="1"/>
  <c r="N470" i="1"/>
  <c r="P468" i="1"/>
  <c r="O468" i="1"/>
  <c r="N466" i="1"/>
  <c r="N464" i="1"/>
  <c r="N460" i="1"/>
  <c r="N456" i="1"/>
  <c r="N452" i="1"/>
  <c r="O459" i="1"/>
  <c r="P455" i="1"/>
  <c r="O455" i="1"/>
  <c r="P451" i="1"/>
  <c r="O451" i="1"/>
  <c r="Q451" i="1" s="1"/>
  <c r="P461" i="1"/>
  <c r="O461" i="1"/>
  <c r="P453" i="1"/>
  <c r="O453" i="1"/>
  <c r="P471" i="1"/>
  <c r="O471" i="1"/>
  <c r="P469" i="1"/>
  <c r="O469" i="1"/>
  <c r="P467" i="1"/>
  <c r="O467" i="1"/>
  <c r="P465" i="1"/>
  <c r="O465" i="1"/>
  <c r="N462" i="1"/>
  <c r="N458" i="1"/>
  <c r="N454" i="1"/>
  <c r="O440" i="1"/>
  <c r="N432" i="1"/>
  <c r="P429" i="1"/>
  <c r="O429" i="1"/>
  <c r="N449" i="1"/>
  <c r="N444" i="1"/>
  <c r="P438" i="1"/>
  <c r="N436" i="1"/>
  <c r="N448" i="1"/>
  <c r="O445" i="1"/>
  <c r="P445" i="1"/>
  <c r="N443" i="1"/>
  <c r="N441" i="1"/>
  <c r="N439" i="1"/>
  <c r="O437" i="1"/>
  <c r="P437" i="1"/>
  <c r="N435" i="1"/>
  <c r="N433" i="1"/>
  <c r="N431" i="1"/>
  <c r="N446" i="1"/>
  <c r="N447" i="1"/>
  <c r="O430" i="1"/>
  <c r="P422" i="1"/>
  <c r="O422" i="1"/>
  <c r="P418" i="1"/>
  <c r="O418" i="1"/>
  <c r="P414" i="1"/>
  <c r="O414" i="1"/>
  <c r="P410" i="1"/>
  <c r="N427" i="1"/>
  <c r="N425" i="1"/>
  <c r="P421" i="1"/>
  <c r="O421" i="1"/>
  <c r="P417" i="1"/>
  <c r="O417" i="1"/>
  <c r="P413" i="1"/>
  <c r="O413" i="1"/>
  <c r="P409" i="1"/>
  <c r="O409" i="1"/>
  <c r="P424" i="1"/>
  <c r="O424" i="1"/>
  <c r="P420" i="1"/>
  <c r="O420" i="1"/>
  <c r="P416" i="1"/>
  <c r="O416" i="1"/>
  <c r="P412" i="1"/>
  <c r="O412" i="1"/>
  <c r="P408" i="1"/>
  <c r="O408" i="1"/>
  <c r="P426" i="1"/>
  <c r="O426" i="1"/>
  <c r="P423" i="1"/>
  <c r="O423" i="1"/>
  <c r="P419" i="1"/>
  <c r="O419" i="1"/>
  <c r="P415" i="1"/>
  <c r="O415" i="1"/>
  <c r="P411" i="1"/>
  <c r="O411" i="1"/>
  <c r="P407" i="1"/>
  <c r="O407" i="1"/>
  <c r="N404" i="1"/>
  <c r="P400" i="1"/>
  <c r="O391" i="1"/>
  <c r="P386" i="1"/>
  <c r="O386" i="1"/>
  <c r="O388" i="1"/>
  <c r="Q388" i="1" s="1"/>
  <c r="P388" i="1"/>
  <c r="P385" i="1"/>
  <c r="O385" i="1"/>
  <c r="N403" i="1"/>
  <c r="N401" i="1"/>
  <c r="N399" i="1"/>
  <c r="N397" i="1"/>
  <c r="N395" i="1"/>
  <c r="N392" i="1"/>
  <c r="N390" i="1"/>
  <c r="N393" i="1"/>
  <c r="P387" i="1"/>
  <c r="O387" i="1"/>
  <c r="O402" i="1"/>
  <c r="P402" i="1"/>
  <c r="O398" i="1"/>
  <c r="N394" i="1"/>
  <c r="P405" i="1"/>
  <c r="O405" i="1"/>
  <c r="P382" i="1"/>
  <c r="O382" i="1"/>
  <c r="P378" i="1"/>
  <c r="O378" i="1"/>
  <c r="P376" i="1"/>
  <c r="O376" i="1"/>
  <c r="P369" i="1"/>
  <c r="O369" i="1"/>
  <c r="P372" i="1"/>
  <c r="O372" i="1"/>
  <c r="P368" i="1"/>
  <c r="O368" i="1"/>
  <c r="Q368" i="1" s="1"/>
  <c r="P364" i="1"/>
  <c r="O364" i="1"/>
  <c r="P380" i="1"/>
  <c r="O380" i="1"/>
  <c r="Q380" i="1" s="1"/>
  <c r="P373" i="1"/>
  <c r="O373" i="1"/>
  <c r="P365" i="1"/>
  <c r="O365" i="1"/>
  <c r="Q365" i="1" s="1"/>
  <c r="O383" i="1"/>
  <c r="P381" i="1"/>
  <c r="O381" i="1"/>
  <c r="Q381" i="1" s="1"/>
  <c r="P379" i="1"/>
  <c r="P375" i="1"/>
  <c r="O375" i="1"/>
  <c r="P371" i="1"/>
  <c r="O371" i="1"/>
  <c r="P367" i="1"/>
  <c r="O367" i="1"/>
  <c r="P363" i="1"/>
  <c r="O363" i="1"/>
  <c r="P374" i="1"/>
  <c r="O374" i="1"/>
  <c r="P370" i="1"/>
  <c r="O370" i="1"/>
  <c r="P366" i="1"/>
  <c r="O366" i="1"/>
  <c r="P361" i="1"/>
  <c r="O361" i="1"/>
  <c r="P359" i="1"/>
  <c r="O359" i="1"/>
  <c r="P356" i="1"/>
  <c r="O356" i="1"/>
  <c r="P348" i="1"/>
  <c r="O348" i="1"/>
  <c r="P355" i="1"/>
  <c r="O355" i="1"/>
  <c r="P351" i="1"/>
  <c r="O351" i="1"/>
  <c r="P347" i="1"/>
  <c r="O347" i="1"/>
  <c r="P343" i="1"/>
  <c r="O343" i="1"/>
  <c r="P352" i="1"/>
  <c r="O352" i="1"/>
  <c r="P360" i="1"/>
  <c r="O360" i="1"/>
  <c r="P358" i="1"/>
  <c r="O358" i="1"/>
  <c r="P354" i="1"/>
  <c r="P350" i="1"/>
  <c r="O350" i="1"/>
  <c r="P346" i="1"/>
  <c r="O346" i="1"/>
  <c r="P342" i="1"/>
  <c r="O342" i="1"/>
  <c r="P344" i="1"/>
  <c r="O344" i="1"/>
  <c r="P357" i="1"/>
  <c r="O357" i="1"/>
  <c r="P353" i="1"/>
  <c r="O353" i="1"/>
  <c r="P349" i="1"/>
  <c r="O349" i="1"/>
  <c r="P345" i="1"/>
  <c r="O345" i="1"/>
  <c r="P341" i="1"/>
  <c r="O341" i="1"/>
  <c r="O336" i="1"/>
  <c r="P336" i="1"/>
  <c r="O334" i="1"/>
  <c r="P334" i="1"/>
  <c r="O332" i="1"/>
  <c r="N330" i="1"/>
  <c r="N326" i="1"/>
  <c r="O324" i="1"/>
  <c r="O322" i="1"/>
  <c r="P322" i="1"/>
  <c r="O339" i="1"/>
  <c r="P337" i="1"/>
  <c r="O337" i="1"/>
  <c r="N335" i="1"/>
  <c r="N333" i="1"/>
  <c r="N331" i="1"/>
  <c r="N329" i="1"/>
  <c r="N327" i="1"/>
  <c r="N325" i="1"/>
  <c r="N323" i="1"/>
  <c r="O321" i="1"/>
  <c r="P321" i="1"/>
  <c r="N319" i="1"/>
  <c r="N338" i="1"/>
  <c r="P320" i="1"/>
  <c r="O320" i="1"/>
  <c r="O304" i="1"/>
  <c r="P304" i="1"/>
  <c r="P310" i="1"/>
  <c r="N316" i="1"/>
  <c r="P302" i="1"/>
  <c r="O302" i="1"/>
  <c r="O305" i="1"/>
  <c r="P305" i="1"/>
  <c r="N306" i="1"/>
  <c r="P298" i="1"/>
  <c r="O298" i="1"/>
  <c r="N317" i="1"/>
  <c r="N313" i="1"/>
  <c r="N299" i="1"/>
  <c r="O307" i="1"/>
  <c r="P307" i="1"/>
  <c r="N303" i="1"/>
  <c r="O312" i="1"/>
  <c r="P312" i="1"/>
  <c r="N308" i="1"/>
  <c r="P301" i="1"/>
  <c r="O301" i="1"/>
  <c r="N311" i="1"/>
  <c r="N309" i="1"/>
  <c r="N314" i="1"/>
  <c r="N297" i="1"/>
  <c r="P300" i="1"/>
  <c r="O300" i="1"/>
  <c r="O288" i="1"/>
  <c r="P288" i="1"/>
  <c r="O280" i="1"/>
  <c r="P280" i="1"/>
  <c r="P291" i="1"/>
  <c r="O279" i="1"/>
  <c r="P279" i="1"/>
  <c r="N287" i="1"/>
  <c r="N294" i="1"/>
  <c r="N290" i="1"/>
  <c r="N286" i="1"/>
  <c r="N282" i="1"/>
  <c r="N278" i="1"/>
  <c r="N293" i="1"/>
  <c r="N295" i="1"/>
  <c r="N289" i="1"/>
  <c r="N285" i="1"/>
  <c r="N281" i="1"/>
  <c r="N277" i="1"/>
  <c r="P275" i="1"/>
  <c r="O275" i="1"/>
  <c r="O292" i="1"/>
  <c r="P292" i="1"/>
  <c r="O284" i="1"/>
  <c r="P284" i="1"/>
  <c r="O276" i="1"/>
  <c r="P276" i="1"/>
  <c r="O283" i="1"/>
  <c r="P283" i="1"/>
  <c r="O264" i="1"/>
  <c r="Q264" i="1" s="1"/>
  <c r="P264" i="1"/>
  <c r="N260" i="1"/>
  <c r="P254" i="1"/>
  <c r="O254" i="1"/>
  <c r="N259" i="1"/>
  <c r="O268" i="1"/>
  <c r="P268" i="1"/>
  <c r="N266" i="1"/>
  <c r="N255" i="1"/>
  <c r="O265" i="1"/>
  <c r="P265" i="1"/>
  <c r="N262" i="1"/>
  <c r="N273" i="1"/>
  <c r="N269" i="1"/>
  <c r="N258" i="1"/>
  <c r="N267" i="1"/>
  <c r="P256" i="1"/>
  <c r="O256" i="1"/>
  <c r="N271" i="1"/>
  <c r="P270" i="1"/>
  <c r="O270" i="1"/>
  <c r="P257" i="1"/>
  <c r="O257" i="1"/>
  <c r="N263" i="1"/>
  <c r="N272" i="1"/>
  <c r="O261" i="1"/>
  <c r="Q261" i="1" s="1"/>
  <c r="P261" i="1"/>
  <c r="O241" i="1"/>
  <c r="P241" i="1"/>
  <c r="N233" i="1"/>
  <c r="P242" i="1"/>
  <c r="O242" i="1"/>
  <c r="P234" i="1"/>
  <c r="O234" i="1"/>
  <c r="N250" i="1"/>
  <c r="N247" i="1"/>
  <c r="N243" i="1"/>
  <c r="N239" i="1"/>
  <c r="N235" i="1"/>
  <c r="N231" i="1"/>
  <c r="O249" i="1"/>
  <c r="P249" i="1"/>
  <c r="N245" i="1"/>
  <c r="O237" i="1"/>
  <c r="P251" i="1"/>
  <c r="O251" i="1"/>
  <c r="N246" i="1"/>
  <c r="N238" i="1"/>
  <c r="N248" i="1"/>
  <c r="N244" i="1"/>
  <c r="N240" i="1"/>
  <c r="N236" i="1"/>
  <c r="N232" i="1"/>
  <c r="P224" i="1"/>
  <c r="O224" i="1"/>
  <c r="P216" i="1"/>
  <c r="O216" i="1"/>
  <c r="P212" i="1"/>
  <c r="O212" i="1"/>
  <c r="P223" i="1"/>
  <c r="O223" i="1"/>
  <c r="P219" i="1"/>
  <c r="O219" i="1"/>
  <c r="P215" i="1"/>
  <c r="O215" i="1"/>
  <c r="P211" i="1"/>
  <c r="O211" i="1"/>
  <c r="P227" i="1"/>
  <c r="O227" i="1"/>
  <c r="N228" i="1"/>
  <c r="P226" i="1"/>
  <c r="O226" i="1"/>
  <c r="P222" i="1"/>
  <c r="O222" i="1"/>
  <c r="P218" i="1"/>
  <c r="O218" i="1"/>
  <c r="P214" i="1"/>
  <c r="O214" i="1"/>
  <c r="P210" i="1"/>
  <c r="O210" i="1"/>
  <c r="P220" i="1"/>
  <c r="O220" i="1"/>
  <c r="P225" i="1"/>
  <c r="O225" i="1"/>
  <c r="P221" i="1"/>
  <c r="O221" i="1"/>
  <c r="P217" i="1"/>
  <c r="O217" i="1"/>
  <c r="P213" i="1"/>
  <c r="O213" i="1"/>
  <c r="P209" i="1"/>
  <c r="O209" i="1"/>
  <c r="N198" i="1"/>
  <c r="O194" i="1"/>
  <c r="P194" i="1"/>
  <c r="O190" i="1"/>
  <c r="P190" i="1"/>
  <c r="P188" i="1"/>
  <c r="O188" i="1"/>
  <c r="N187" i="1"/>
  <c r="O201" i="1"/>
  <c r="P201" i="1"/>
  <c r="N199" i="1"/>
  <c r="N197" i="1"/>
  <c r="N195" i="1"/>
  <c r="N193" i="1"/>
  <c r="O191" i="1"/>
  <c r="P191" i="1"/>
  <c r="N189" i="1"/>
  <c r="N207" i="1"/>
  <c r="N202" i="1"/>
  <c r="O200" i="1"/>
  <c r="P200" i="1"/>
  <c r="O196" i="1"/>
  <c r="P196" i="1"/>
  <c r="O192" i="1"/>
  <c r="P192" i="1"/>
  <c r="P205" i="1"/>
  <c r="O204" i="1"/>
  <c r="P204" i="1"/>
  <c r="N206" i="1"/>
  <c r="N203" i="1"/>
  <c r="N170" i="1"/>
  <c r="N181" i="1"/>
  <c r="P173" i="1"/>
  <c r="O173" i="1"/>
  <c r="P185" i="1"/>
  <c r="O185" i="1"/>
  <c r="O180" i="1"/>
  <c r="P180" i="1"/>
  <c r="N171" i="1"/>
  <c r="N169" i="1"/>
  <c r="N183" i="1"/>
  <c r="N179" i="1"/>
  <c r="N175" i="1"/>
  <c r="N166" i="1"/>
  <c r="O168" i="1"/>
  <c r="P168" i="1"/>
  <c r="P165" i="1"/>
  <c r="O165" i="1"/>
  <c r="N182" i="1"/>
  <c r="N178" i="1"/>
  <c r="N174" i="1"/>
  <c r="O184" i="1"/>
  <c r="N177" i="1"/>
  <c r="N167" i="1"/>
  <c r="O176" i="1"/>
  <c r="P176" i="1"/>
  <c r="P161" i="1"/>
  <c r="O161" i="1"/>
  <c r="P150" i="1"/>
  <c r="O150" i="1"/>
  <c r="P146" i="1"/>
  <c r="O146" i="1"/>
  <c r="P157" i="1"/>
  <c r="O157" i="1"/>
  <c r="P153" i="1"/>
  <c r="O153" i="1"/>
  <c r="P149" i="1"/>
  <c r="O149" i="1"/>
  <c r="P145" i="1"/>
  <c r="O145" i="1"/>
  <c r="P158" i="1"/>
  <c r="O158" i="1"/>
  <c r="N162" i="1"/>
  <c r="P160" i="1"/>
  <c r="O160" i="1"/>
  <c r="P156" i="1"/>
  <c r="O156" i="1"/>
  <c r="P152" i="1"/>
  <c r="O152" i="1"/>
  <c r="P148" i="1"/>
  <c r="O148" i="1"/>
  <c r="P144" i="1"/>
  <c r="O144" i="1"/>
  <c r="P163" i="1"/>
  <c r="O163" i="1"/>
  <c r="P154" i="1"/>
  <c r="O154" i="1"/>
  <c r="P159" i="1"/>
  <c r="O159" i="1"/>
  <c r="P155" i="1"/>
  <c r="O155" i="1"/>
  <c r="P151" i="1"/>
  <c r="O151" i="1"/>
  <c r="P147" i="1"/>
  <c r="O147" i="1"/>
  <c r="P143" i="1"/>
  <c r="O143" i="1"/>
  <c r="N140" i="1"/>
  <c r="P140" i="1" s="1"/>
  <c r="O140" i="1"/>
  <c r="P131" i="1"/>
  <c r="O131" i="1"/>
  <c r="P134" i="1"/>
  <c r="O134" i="1"/>
  <c r="Q134" i="1" s="1"/>
  <c r="P130" i="1"/>
  <c r="O130" i="1"/>
  <c r="P126" i="1"/>
  <c r="O126" i="1"/>
  <c r="Q126" i="1" s="1"/>
  <c r="P122" i="1"/>
  <c r="O122" i="1"/>
  <c r="P138" i="1"/>
  <c r="O138" i="1"/>
  <c r="Q138" i="1" s="1"/>
  <c r="P127" i="1"/>
  <c r="O127" i="1"/>
  <c r="P141" i="1"/>
  <c r="O141" i="1"/>
  <c r="Q141" i="1" s="1"/>
  <c r="N139" i="1"/>
  <c r="P137" i="1"/>
  <c r="O137" i="1"/>
  <c r="P133" i="1"/>
  <c r="O133" i="1"/>
  <c r="P129" i="1"/>
  <c r="O129" i="1"/>
  <c r="P125" i="1"/>
  <c r="O125" i="1"/>
  <c r="P121" i="1"/>
  <c r="O121" i="1"/>
  <c r="P135" i="1"/>
  <c r="O135" i="1"/>
  <c r="P123" i="1"/>
  <c r="O123" i="1"/>
  <c r="P136" i="1"/>
  <c r="O136" i="1"/>
  <c r="P132" i="1"/>
  <c r="O132" i="1"/>
  <c r="P128" i="1"/>
  <c r="O128" i="1"/>
  <c r="P124" i="1"/>
  <c r="O124" i="1"/>
  <c r="P101" i="1"/>
  <c r="Q101" i="1" s="1"/>
  <c r="N118" i="1"/>
  <c r="P118" i="1" s="1"/>
  <c r="N114" i="1"/>
  <c r="P114" i="1" s="1"/>
  <c r="P99" i="1"/>
  <c r="P115" i="1"/>
  <c r="O115" i="1"/>
  <c r="P107" i="1"/>
  <c r="O107" i="1"/>
  <c r="O114" i="1"/>
  <c r="P110" i="1"/>
  <c r="O110" i="1"/>
  <c r="Q110" i="1" s="1"/>
  <c r="P106" i="1"/>
  <c r="O106" i="1"/>
  <c r="Q106" i="1" s="1"/>
  <c r="P102" i="1"/>
  <c r="O102" i="1"/>
  <c r="Q102" i="1" s="1"/>
  <c r="O118" i="1"/>
  <c r="P111" i="1"/>
  <c r="O111" i="1"/>
  <c r="Q111" i="1" s="1"/>
  <c r="P103" i="1"/>
  <c r="O103" i="1"/>
  <c r="Q103" i="1" s="1"/>
  <c r="P119" i="1"/>
  <c r="O119" i="1"/>
  <c r="Q119" i="1" s="1"/>
  <c r="P117" i="1"/>
  <c r="O117" i="1"/>
  <c r="Q117" i="1" s="1"/>
  <c r="P113" i="1"/>
  <c r="O113" i="1"/>
  <c r="Q113" i="1" s="1"/>
  <c r="P109" i="1"/>
  <c r="O109" i="1"/>
  <c r="Q109" i="1" s="1"/>
  <c r="P105" i="1"/>
  <c r="O105" i="1"/>
  <c r="Q105" i="1" s="1"/>
  <c r="Q99" i="1"/>
  <c r="N116" i="1"/>
  <c r="N112" i="1"/>
  <c r="P108" i="1"/>
  <c r="O108" i="1"/>
  <c r="Q108" i="1" s="1"/>
  <c r="P104" i="1"/>
  <c r="O104" i="1"/>
  <c r="Q104" i="1" s="1"/>
  <c r="P93" i="1"/>
  <c r="N95" i="1"/>
  <c r="O81" i="1"/>
  <c r="Q81" i="1" s="1"/>
  <c r="P81" i="1"/>
  <c r="N96" i="1"/>
  <c r="N83" i="1"/>
  <c r="O84" i="1"/>
  <c r="Q84" i="1" s="1"/>
  <c r="P84" i="1"/>
  <c r="O92" i="1"/>
  <c r="P92" i="1"/>
  <c r="N97" i="1"/>
  <c r="N91" i="1"/>
  <c r="N87" i="1"/>
  <c r="N82" i="1"/>
  <c r="O77" i="1"/>
  <c r="Q77" i="1" s="1"/>
  <c r="P77" i="1"/>
  <c r="N94" i="1"/>
  <c r="N89" i="1"/>
  <c r="N85" i="1"/>
  <c r="N79" i="1"/>
  <c r="O90" i="1"/>
  <c r="P90" i="1"/>
  <c r="N80" i="1"/>
  <c r="O86" i="1"/>
  <c r="P86" i="1"/>
  <c r="N88" i="1"/>
  <c r="N78" i="1"/>
  <c r="P70" i="1"/>
  <c r="O70" i="1"/>
  <c r="Q70" i="1" s="1"/>
  <c r="O68" i="1"/>
  <c r="P68" i="1"/>
  <c r="N66" i="1"/>
  <c r="O64" i="1"/>
  <c r="P64" i="1"/>
  <c r="O62" i="1"/>
  <c r="N60" i="1"/>
  <c r="N74" i="1"/>
  <c r="N72" i="1"/>
  <c r="P58" i="1"/>
  <c r="O58" i="1"/>
  <c r="Q58" i="1" s="1"/>
  <c r="N56" i="1"/>
  <c r="N71" i="1"/>
  <c r="N69" i="1"/>
  <c r="N67" i="1"/>
  <c r="N65" i="1"/>
  <c r="N63" i="1"/>
  <c r="N61" i="1"/>
  <c r="N59" i="1"/>
  <c r="P75" i="1"/>
  <c r="O75" i="1"/>
  <c r="Q75" i="1" s="1"/>
  <c r="N57" i="1"/>
  <c r="O55" i="1"/>
  <c r="P55" i="1"/>
  <c r="P73" i="1"/>
  <c r="O73" i="1"/>
  <c r="N36" i="1"/>
  <c r="O36" i="1" s="1"/>
  <c r="N46" i="1"/>
  <c r="O46" i="1" s="1"/>
  <c r="N44" i="1"/>
  <c r="O44" i="1" s="1"/>
  <c r="N42" i="1"/>
  <c r="O42" i="1" s="1"/>
  <c r="N53" i="1"/>
  <c r="P53" i="1" s="1"/>
  <c r="P51" i="1"/>
  <c r="O51" i="1"/>
  <c r="O47" i="1"/>
  <c r="P47" i="1"/>
  <c r="N40" i="1"/>
  <c r="P46" i="1"/>
  <c r="O37" i="1"/>
  <c r="P37" i="1"/>
  <c r="O52" i="1"/>
  <c r="P52" i="1"/>
  <c r="N50" i="1"/>
  <c r="N48" i="1"/>
  <c r="N38" i="1"/>
  <c r="N34" i="1"/>
  <c r="N45" i="1"/>
  <c r="N43" i="1"/>
  <c r="N39" i="1"/>
  <c r="N35" i="1"/>
  <c r="P49" i="1"/>
  <c r="O49" i="1"/>
  <c r="P36" i="1"/>
  <c r="P44" i="1"/>
  <c r="O41" i="1"/>
  <c r="P41" i="1"/>
  <c r="L33" i="1"/>
  <c r="P33" i="1" s="1"/>
  <c r="M33" i="1"/>
  <c r="O33" i="1" s="1"/>
  <c r="Q107" i="1" l="1"/>
  <c r="Q124" i="1"/>
  <c r="Q132" i="1"/>
  <c r="Q145" i="1"/>
  <c r="Q153" i="1"/>
  <c r="Q146" i="1"/>
  <c r="Q161" i="1"/>
  <c r="P172" i="1"/>
  <c r="Q256" i="1"/>
  <c r="O315" i="1"/>
  <c r="Q315" i="1" s="1"/>
  <c r="Q320" i="1"/>
  <c r="Q349" i="1"/>
  <c r="Q357" i="1"/>
  <c r="Q342" i="1"/>
  <c r="Q350" i="1"/>
  <c r="Q358" i="1"/>
  <c r="Q352" i="1"/>
  <c r="Q347" i="1"/>
  <c r="Q355" i="1"/>
  <c r="Q356" i="1"/>
  <c r="Q361" i="1"/>
  <c r="Q370" i="1"/>
  <c r="Q363" i="1"/>
  <c r="Q371" i="1"/>
  <c r="P389" i="1"/>
  <c r="Q389" i="1" s="1"/>
  <c r="P442" i="1"/>
  <c r="P487" i="1"/>
  <c r="Q379" i="1"/>
  <c r="Q480" i="1"/>
  <c r="Q62" i="1"/>
  <c r="Q122" i="1"/>
  <c r="Q165" i="1"/>
  <c r="Q185" i="1"/>
  <c r="Q227" i="1"/>
  <c r="Q215" i="1"/>
  <c r="Q223" i="1"/>
  <c r="Q216" i="1"/>
  <c r="O229" i="1"/>
  <c r="Q229" i="1" s="1"/>
  <c r="O253" i="1"/>
  <c r="Q253" i="1" s="1"/>
  <c r="Q369" i="1"/>
  <c r="Q378" i="1"/>
  <c r="Q398" i="1"/>
  <c r="O463" i="1"/>
  <c r="Q463" i="1" s="1"/>
  <c r="Q118" i="1"/>
  <c r="O53" i="1"/>
  <c r="Q115" i="1"/>
  <c r="Q234" i="1"/>
  <c r="Q298" i="1"/>
  <c r="Q345" i="1"/>
  <c r="Q353" i="1"/>
  <c r="Q344" i="1"/>
  <c r="Q346" i="1"/>
  <c r="Q360" i="1"/>
  <c r="Q343" i="1"/>
  <c r="Q351" i="1"/>
  <c r="Q348" i="1"/>
  <c r="Q359" i="1"/>
  <c r="Q385" i="1"/>
  <c r="Q386" i="1"/>
  <c r="Q415" i="1"/>
  <c r="Q423" i="1"/>
  <c r="Q408" i="1"/>
  <c r="Q416" i="1"/>
  <c r="Q424" i="1"/>
  <c r="Q413" i="1"/>
  <c r="Q421" i="1"/>
  <c r="Q418" i="1"/>
  <c r="Q467" i="1"/>
  <c r="Q471" i="1"/>
  <c r="Q461" i="1"/>
  <c r="Q455" i="1"/>
  <c r="Q465" i="1"/>
  <c r="Q469" i="1"/>
  <c r="Q453" i="1"/>
  <c r="Q459" i="1"/>
  <c r="Q457" i="1"/>
  <c r="Q430" i="1"/>
  <c r="Q442" i="1"/>
  <c r="Q445" i="1"/>
  <c r="P434" i="1"/>
  <c r="Q434" i="1" s="1"/>
  <c r="Q411" i="1"/>
  <c r="Q419" i="1"/>
  <c r="Q426" i="1"/>
  <c r="Q412" i="1"/>
  <c r="Q420" i="1"/>
  <c r="Q409" i="1"/>
  <c r="Q417" i="1"/>
  <c r="Q414" i="1"/>
  <c r="Q422" i="1"/>
  <c r="Q407" i="1"/>
  <c r="P396" i="1"/>
  <c r="Q396" i="1" s="1"/>
  <c r="Q391" i="1"/>
  <c r="Q405" i="1"/>
  <c r="O377" i="1"/>
  <c r="Q377" i="1" s="1"/>
  <c r="Q366" i="1"/>
  <c r="Q374" i="1"/>
  <c r="Q367" i="1"/>
  <c r="Q375" i="1"/>
  <c r="Q383" i="1"/>
  <c r="Q373" i="1"/>
  <c r="Q364" i="1"/>
  <c r="Q372" i="1"/>
  <c r="Q376" i="1"/>
  <c r="Q382" i="1"/>
  <c r="Q341" i="1"/>
  <c r="Q322" i="1"/>
  <c r="O328" i="1"/>
  <c r="Q332" i="1"/>
  <c r="Q336" i="1"/>
  <c r="Q339" i="1"/>
  <c r="Q300" i="1"/>
  <c r="Q275" i="1"/>
  <c r="Q270" i="1"/>
  <c r="Q241" i="1"/>
  <c r="Q251" i="1"/>
  <c r="Q211" i="1"/>
  <c r="Q219" i="1"/>
  <c r="Q212" i="1"/>
  <c r="Q224" i="1"/>
  <c r="Q204" i="1"/>
  <c r="Q192" i="1"/>
  <c r="Q200" i="1"/>
  <c r="Q190" i="1"/>
  <c r="Q188" i="1"/>
  <c r="Q176" i="1"/>
  <c r="Q184" i="1"/>
  <c r="Q173" i="1"/>
  <c r="Q158" i="1"/>
  <c r="Q149" i="1"/>
  <c r="Q157" i="1"/>
  <c r="Q150" i="1"/>
  <c r="P475" i="1"/>
  <c r="O475" i="1"/>
  <c r="O483" i="1"/>
  <c r="P483" i="1"/>
  <c r="P482" i="1"/>
  <c r="O482" i="1"/>
  <c r="Q487" i="1"/>
  <c r="P477" i="1"/>
  <c r="O477" i="1"/>
  <c r="P485" i="1"/>
  <c r="O485" i="1"/>
  <c r="Q485" i="1" s="1"/>
  <c r="O481" i="1"/>
  <c r="P481" i="1"/>
  <c r="O490" i="1"/>
  <c r="P490" i="1"/>
  <c r="Q478" i="1"/>
  <c r="P474" i="1"/>
  <c r="O474" i="1"/>
  <c r="P493" i="1"/>
  <c r="O493" i="1"/>
  <c r="Q486" i="1"/>
  <c r="Q492" i="1"/>
  <c r="Q484" i="1"/>
  <c r="Q491" i="1"/>
  <c r="O479" i="1"/>
  <c r="P479" i="1"/>
  <c r="O488" i="1"/>
  <c r="P488" i="1"/>
  <c r="Q489" i="1"/>
  <c r="P458" i="1"/>
  <c r="O458" i="1"/>
  <c r="Q458" i="1" s="1"/>
  <c r="P460" i="1"/>
  <c r="O460" i="1"/>
  <c r="Q460" i="1" s="1"/>
  <c r="P462" i="1"/>
  <c r="O462" i="1"/>
  <c r="Q462" i="1" s="1"/>
  <c r="P464" i="1"/>
  <c r="O464" i="1"/>
  <c r="Q464" i="1" s="1"/>
  <c r="P470" i="1"/>
  <c r="O470" i="1"/>
  <c r="Q470" i="1" s="1"/>
  <c r="P452" i="1"/>
  <c r="O452" i="1"/>
  <c r="Q452" i="1" s="1"/>
  <c r="P466" i="1"/>
  <c r="O466" i="1"/>
  <c r="Q466" i="1" s="1"/>
  <c r="P454" i="1"/>
  <c r="O454" i="1"/>
  <c r="Q454" i="1" s="1"/>
  <c r="P456" i="1"/>
  <c r="O456" i="1"/>
  <c r="Q456" i="1" s="1"/>
  <c r="Q468" i="1"/>
  <c r="P447" i="1"/>
  <c r="O447" i="1"/>
  <c r="O435" i="1"/>
  <c r="P435" i="1"/>
  <c r="O441" i="1"/>
  <c r="P441" i="1"/>
  <c r="P448" i="1"/>
  <c r="O448" i="1"/>
  <c r="O444" i="1"/>
  <c r="P444" i="1"/>
  <c r="O432" i="1"/>
  <c r="P432" i="1"/>
  <c r="O433" i="1"/>
  <c r="P433" i="1"/>
  <c r="O446" i="1"/>
  <c r="P446" i="1"/>
  <c r="P443" i="1"/>
  <c r="O443" i="1"/>
  <c r="O436" i="1"/>
  <c r="P436" i="1"/>
  <c r="O449" i="1"/>
  <c r="P449" i="1"/>
  <c r="O439" i="1"/>
  <c r="P439" i="1"/>
  <c r="O431" i="1"/>
  <c r="P431" i="1"/>
  <c r="Q437" i="1"/>
  <c r="Q438" i="1"/>
  <c r="Q429" i="1"/>
  <c r="Q440" i="1"/>
  <c r="P425" i="1"/>
  <c r="O425" i="1"/>
  <c r="P427" i="1"/>
  <c r="O427" i="1"/>
  <c r="P395" i="1"/>
  <c r="O395" i="1"/>
  <c r="P403" i="1"/>
  <c r="O403" i="1"/>
  <c r="O394" i="1"/>
  <c r="P394" i="1"/>
  <c r="O390" i="1"/>
  <c r="P390" i="1"/>
  <c r="O399" i="1"/>
  <c r="Q399" i="1" s="1"/>
  <c r="P399" i="1"/>
  <c r="Q400" i="1"/>
  <c r="P393" i="1"/>
  <c r="O393" i="1"/>
  <c r="O397" i="1"/>
  <c r="P397" i="1"/>
  <c r="Q402" i="1"/>
  <c r="Q387" i="1"/>
  <c r="O392" i="1"/>
  <c r="P392" i="1"/>
  <c r="O401" i="1"/>
  <c r="P401" i="1"/>
  <c r="O404" i="1"/>
  <c r="P404" i="1"/>
  <c r="P319" i="1"/>
  <c r="O319" i="1"/>
  <c r="Q319" i="1" s="1"/>
  <c r="P325" i="1"/>
  <c r="O325" i="1"/>
  <c r="Q325" i="1" s="1"/>
  <c r="O333" i="1"/>
  <c r="P333" i="1"/>
  <c r="O327" i="1"/>
  <c r="P327" i="1"/>
  <c r="O335" i="1"/>
  <c r="P335" i="1"/>
  <c r="Q324" i="1"/>
  <c r="O330" i="1"/>
  <c r="P330" i="1"/>
  <c r="Q334" i="1"/>
  <c r="Q321" i="1"/>
  <c r="P329" i="1"/>
  <c r="O329" i="1"/>
  <c r="Q337" i="1"/>
  <c r="P326" i="1"/>
  <c r="O326" i="1"/>
  <c r="Q326" i="1" s="1"/>
  <c r="O338" i="1"/>
  <c r="P338" i="1"/>
  <c r="P323" i="1"/>
  <c r="O323" i="1"/>
  <c r="Q323" i="1" s="1"/>
  <c r="O331" i="1"/>
  <c r="P331" i="1"/>
  <c r="Q328" i="1"/>
  <c r="O314" i="1"/>
  <c r="P314" i="1"/>
  <c r="P303" i="1"/>
  <c r="O303" i="1"/>
  <c r="O313" i="1"/>
  <c r="P313" i="1"/>
  <c r="O306" i="1"/>
  <c r="P306" i="1"/>
  <c r="O309" i="1"/>
  <c r="P309" i="1"/>
  <c r="O308" i="1"/>
  <c r="P308" i="1"/>
  <c r="O311" i="1"/>
  <c r="P311" i="1"/>
  <c r="Q307" i="1"/>
  <c r="Q305" i="1"/>
  <c r="Q310" i="1"/>
  <c r="P317" i="1"/>
  <c r="O317" i="1"/>
  <c r="Q317" i="1" s="1"/>
  <c r="O316" i="1"/>
  <c r="P316" i="1"/>
  <c r="P297" i="1"/>
  <c r="O297" i="1"/>
  <c r="Q301" i="1"/>
  <c r="Q312" i="1"/>
  <c r="P299" i="1"/>
  <c r="O299" i="1"/>
  <c r="Q299" i="1" s="1"/>
  <c r="Q302" i="1"/>
  <c r="Q304" i="1"/>
  <c r="Q276" i="1"/>
  <c r="Q292" i="1"/>
  <c r="O281" i="1"/>
  <c r="P281" i="1"/>
  <c r="O293" i="1"/>
  <c r="P293" i="1"/>
  <c r="P290" i="1"/>
  <c r="O290" i="1"/>
  <c r="Q279" i="1"/>
  <c r="Q280" i="1"/>
  <c r="P295" i="1"/>
  <c r="O295" i="1"/>
  <c r="P286" i="1"/>
  <c r="O286" i="1"/>
  <c r="Q286" i="1" s="1"/>
  <c r="O285" i="1"/>
  <c r="P285" i="1"/>
  <c r="O278" i="1"/>
  <c r="P278" i="1"/>
  <c r="P294" i="1"/>
  <c r="O294" i="1"/>
  <c r="P277" i="1"/>
  <c r="O277" i="1"/>
  <c r="Q277" i="1" s="1"/>
  <c r="Q283" i="1"/>
  <c r="Q284" i="1"/>
  <c r="O289" i="1"/>
  <c r="P289" i="1"/>
  <c r="P282" i="1"/>
  <c r="O282" i="1"/>
  <c r="O287" i="1"/>
  <c r="P287" i="1"/>
  <c r="Q291" i="1"/>
  <c r="Q288" i="1"/>
  <c r="O272" i="1"/>
  <c r="P272" i="1"/>
  <c r="O263" i="1"/>
  <c r="P263" i="1"/>
  <c r="O269" i="1"/>
  <c r="P269" i="1"/>
  <c r="Q265" i="1"/>
  <c r="Q268" i="1"/>
  <c r="O260" i="1"/>
  <c r="P260" i="1"/>
  <c r="Q257" i="1"/>
  <c r="P273" i="1"/>
  <c r="O273" i="1"/>
  <c r="P255" i="1"/>
  <c r="O255" i="1"/>
  <c r="Q255" i="1" s="1"/>
  <c r="O259" i="1"/>
  <c r="P259" i="1"/>
  <c r="P271" i="1"/>
  <c r="O271" i="1"/>
  <c r="Q271" i="1" s="1"/>
  <c r="O258" i="1"/>
  <c r="P258" i="1"/>
  <c r="O267" i="1"/>
  <c r="P267" i="1"/>
  <c r="O262" i="1"/>
  <c r="P262" i="1"/>
  <c r="P266" i="1"/>
  <c r="O266" i="1"/>
  <c r="Q266" i="1" s="1"/>
  <c r="Q254" i="1"/>
  <c r="O239" i="1"/>
  <c r="P239" i="1"/>
  <c r="P233" i="1"/>
  <c r="O233" i="1"/>
  <c r="P236" i="1"/>
  <c r="O236" i="1"/>
  <c r="O238" i="1"/>
  <c r="P238" i="1"/>
  <c r="Q237" i="1"/>
  <c r="Q249" i="1"/>
  <c r="P243" i="1"/>
  <c r="O243" i="1"/>
  <c r="O244" i="1"/>
  <c r="P244" i="1"/>
  <c r="O245" i="1"/>
  <c r="P245" i="1"/>
  <c r="O235" i="1"/>
  <c r="Q235" i="1" s="1"/>
  <c r="P235" i="1"/>
  <c r="P250" i="1"/>
  <c r="O250" i="1"/>
  <c r="O232" i="1"/>
  <c r="Q232" i="1" s="1"/>
  <c r="P232" i="1"/>
  <c r="P248" i="1"/>
  <c r="O248" i="1"/>
  <c r="P240" i="1"/>
  <c r="O240" i="1"/>
  <c r="P246" i="1"/>
  <c r="O246" i="1"/>
  <c r="P231" i="1"/>
  <c r="O231" i="1"/>
  <c r="O247" i="1"/>
  <c r="P247" i="1"/>
  <c r="Q242" i="1"/>
  <c r="Q213" i="1"/>
  <c r="Q221" i="1"/>
  <c r="Q220" i="1"/>
  <c r="Q214" i="1"/>
  <c r="Q222" i="1"/>
  <c r="P228" i="1"/>
  <c r="O228" i="1"/>
  <c r="Q209" i="1"/>
  <c r="Q217" i="1"/>
  <c r="Q225" i="1"/>
  <c r="Q210" i="1"/>
  <c r="Q218" i="1"/>
  <c r="Q226" i="1"/>
  <c r="O203" i="1"/>
  <c r="P203" i="1"/>
  <c r="O202" i="1"/>
  <c r="P202" i="1"/>
  <c r="Q191" i="1"/>
  <c r="P199" i="1"/>
  <c r="O199" i="1"/>
  <c r="Q199" i="1" s="1"/>
  <c r="O206" i="1"/>
  <c r="P206" i="1"/>
  <c r="Q205" i="1"/>
  <c r="Q196" i="1"/>
  <c r="P207" i="1"/>
  <c r="O207" i="1"/>
  <c r="O193" i="1"/>
  <c r="P193" i="1"/>
  <c r="Q194" i="1"/>
  <c r="O197" i="1"/>
  <c r="P197" i="1"/>
  <c r="P187" i="1"/>
  <c r="O187" i="1"/>
  <c r="O189" i="1"/>
  <c r="Q189" i="1" s="1"/>
  <c r="P189" i="1"/>
  <c r="P195" i="1"/>
  <c r="O195" i="1"/>
  <c r="Q201" i="1"/>
  <c r="P198" i="1"/>
  <c r="O198" i="1"/>
  <c r="Q198" i="1" s="1"/>
  <c r="O178" i="1"/>
  <c r="P178" i="1"/>
  <c r="P179" i="1"/>
  <c r="O179" i="1"/>
  <c r="Q179" i="1" s="1"/>
  <c r="O182" i="1"/>
  <c r="P182" i="1"/>
  <c r="Q180" i="1"/>
  <c r="Q172" i="1"/>
  <c r="P166" i="1"/>
  <c r="O166" i="1"/>
  <c r="O169" i="1"/>
  <c r="P169" i="1"/>
  <c r="P181" i="1"/>
  <c r="O181" i="1"/>
  <c r="O167" i="1"/>
  <c r="P167" i="1"/>
  <c r="Q168" i="1"/>
  <c r="P183" i="1"/>
  <c r="O183" i="1"/>
  <c r="O177" i="1"/>
  <c r="P177" i="1"/>
  <c r="O174" i="1"/>
  <c r="P174" i="1"/>
  <c r="O175" i="1"/>
  <c r="P175" i="1"/>
  <c r="O171" i="1"/>
  <c r="P171" i="1"/>
  <c r="O170" i="1"/>
  <c r="P170" i="1"/>
  <c r="Q147" i="1"/>
  <c r="Q155" i="1"/>
  <c r="Q154" i="1"/>
  <c r="Q144" i="1"/>
  <c r="Q152" i="1"/>
  <c r="Q160" i="1"/>
  <c r="Q143" i="1"/>
  <c r="Q151" i="1"/>
  <c r="Q159" i="1"/>
  <c r="Q163" i="1"/>
  <c r="Q148" i="1"/>
  <c r="Q156" i="1"/>
  <c r="P162" i="1"/>
  <c r="O162" i="1"/>
  <c r="Q123" i="1"/>
  <c r="Q129" i="1"/>
  <c r="Q137" i="1"/>
  <c r="Q140" i="1"/>
  <c r="Q127" i="1"/>
  <c r="Q130" i="1"/>
  <c r="Q131" i="1"/>
  <c r="Q121" i="1"/>
  <c r="Q128" i="1"/>
  <c r="Q136" i="1"/>
  <c r="Q135" i="1"/>
  <c r="Q125" i="1"/>
  <c r="Q133" i="1"/>
  <c r="P139" i="1"/>
  <c r="O139" i="1"/>
  <c r="Q139" i="1" s="1"/>
  <c r="Q114" i="1"/>
  <c r="P112" i="1"/>
  <c r="O112" i="1"/>
  <c r="P116" i="1"/>
  <c r="O116" i="1"/>
  <c r="Q92" i="1"/>
  <c r="Q90" i="1"/>
  <c r="O80" i="1"/>
  <c r="P80" i="1"/>
  <c r="P85" i="1"/>
  <c r="O85" i="1"/>
  <c r="P97" i="1"/>
  <c r="O97" i="1"/>
  <c r="O88" i="1"/>
  <c r="P88" i="1"/>
  <c r="P89" i="1"/>
  <c r="O89" i="1"/>
  <c r="P82" i="1"/>
  <c r="O82" i="1"/>
  <c r="P83" i="1"/>
  <c r="O83" i="1"/>
  <c r="O95" i="1"/>
  <c r="P95" i="1"/>
  <c r="P78" i="1"/>
  <c r="O78" i="1"/>
  <c r="O96" i="1"/>
  <c r="P96" i="1"/>
  <c r="P94" i="1"/>
  <c r="O94" i="1"/>
  <c r="P87" i="1"/>
  <c r="O87" i="1"/>
  <c r="Q86" i="1"/>
  <c r="P79" i="1"/>
  <c r="O79" i="1"/>
  <c r="P91" i="1"/>
  <c r="O91" i="1"/>
  <c r="Q93" i="1"/>
  <c r="Q64" i="1"/>
  <c r="Q55" i="1"/>
  <c r="O63" i="1"/>
  <c r="P63" i="1"/>
  <c r="P65" i="1"/>
  <c r="O65" i="1"/>
  <c r="O56" i="1"/>
  <c r="P56" i="1"/>
  <c r="O74" i="1"/>
  <c r="P74" i="1"/>
  <c r="Q68" i="1"/>
  <c r="O71" i="1"/>
  <c r="P71" i="1"/>
  <c r="P72" i="1"/>
  <c r="O72" i="1"/>
  <c r="Q72" i="1" s="1"/>
  <c r="P59" i="1"/>
  <c r="O59" i="1"/>
  <c r="P67" i="1"/>
  <c r="O67" i="1"/>
  <c r="Q67" i="1" s="1"/>
  <c r="P60" i="1"/>
  <c r="O60" i="1"/>
  <c r="Q73" i="1"/>
  <c r="O57" i="1"/>
  <c r="P57" i="1"/>
  <c r="O61" i="1"/>
  <c r="P61" i="1"/>
  <c r="P69" i="1"/>
  <c r="O69" i="1"/>
  <c r="O66" i="1"/>
  <c r="P66" i="1"/>
  <c r="P42" i="1"/>
  <c r="Q42" i="1" s="1"/>
  <c r="Q49" i="1"/>
  <c r="Q41" i="1"/>
  <c r="Q36" i="1"/>
  <c r="Q52" i="1"/>
  <c r="Q53" i="1"/>
  <c r="Q51" i="1"/>
  <c r="O43" i="1"/>
  <c r="P43" i="1"/>
  <c r="Q44" i="1"/>
  <c r="Q37" i="1"/>
  <c r="Q46" i="1"/>
  <c r="O39" i="1"/>
  <c r="P39" i="1"/>
  <c r="O38" i="1"/>
  <c r="P38" i="1"/>
  <c r="P48" i="1"/>
  <c r="O48" i="1"/>
  <c r="Q47" i="1"/>
  <c r="O45" i="1"/>
  <c r="P45" i="1"/>
  <c r="O50" i="1"/>
  <c r="P50" i="1"/>
  <c r="O35" i="1"/>
  <c r="P35" i="1"/>
  <c r="O34" i="1"/>
  <c r="P34" i="1"/>
  <c r="O40" i="1"/>
  <c r="P40" i="1"/>
  <c r="Q33" i="1"/>
  <c r="Q48" i="1" l="1"/>
  <c r="Q69" i="1"/>
  <c r="Q71" i="1"/>
  <c r="Q94" i="1"/>
  <c r="Q78" i="1"/>
  <c r="Q83" i="1"/>
  <c r="Q89" i="1"/>
  <c r="Q97" i="1"/>
  <c r="Q116" i="1"/>
  <c r="Q162" i="1"/>
  <c r="Q246" i="1"/>
  <c r="Q248" i="1"/>
  <c r="Q250" i="1"/>
  <c r="Q243" i="1"/>
  <c r="Q233" i="1"/>
  <c r="Q262" i="1"/>
  <c r="Q258" i="1"/>
  <c r="Q259" i="1"/>
  <c r="Q331" i="1"/>
  <c r="Q401" i="1"/>
  <c r="Q403" i="1"/>
  <c r="Q443" i="1"/>
  <c r="Q447" i="1"/>
  <c r="Q474" i="1"/>
  <c r="Q482" i="1"/>
  <c r="Q475" i="1"/>
  <c r="Q87" i="1"/>
  <c r="Q82" i="1"/>
  <c r="Q85" i="1"/>
  <c r="Q195" i="1"/>
  <c r="Q187" i="1"/>
  <c r="Q206" i="1"/>
  <c r="Q425" i="1"/>
  <c r="Q448" i="1"/>
  <c r="Q493" i="1"/>
  <c r="Q481" i="1"/>
  <c r="Q427" i="1"/>
  <c r="Q394" i="1"/>
  <c r="Q330" i="1"/>
  <c r="Q316" i="1"/>
  <c r="Q303" i="1"/>
  <c r="Q297" i="1"/>
  <c r="Q282" i="1"/>
  <c r="Q294" i="1"/>
  <c r="Q295" i="1"/>
  <c r="Q290" i="1"/>
  <c r="Q260" i="1"/>
  <c r="Q236" i="1"/>
  <c r="Q182" i="1"/>
  <c r="Q170" i="1"/>
  <c r="Q175" i="1"/>
  <c r="Q177" i="1"/>
  <c r="Q183" i="1"/>
  <c r="Q488" i="1"/>
  <c r="Q490" i="1"/>
  <c r="Q483" i="1"/>
  <c r="Q479" i="1"/>
  <c r="Q477" i="1"/>
  <c r="Q439" i="1"/>
  <c r="Q436" i="1"/>
  <c r="Q446" i="1"/>
  <c r="Q432" i="1"/>
  <c r="Q435" i="1"/>
  <c r="Q431" i="1"/>
  <c r="Q449" i="1"/>
  <c r="Q433" i="1"/>
  <c r="Q444" i="1"/>
  <c r="Q441" i="1"/>
  <c r="Q404" i="1"/>
  <c r="Q392" i="1"/>
  <c r="Q397" i="1"/>
  <c r="Q395" i="1"/>
  <c r="Q390" i="1"/>
  <c r="Q393" i="1"/>
  <c r="Q327" i="1"/>
  <c r="Q338" i="1"/>
  <c r="Q329" i="1"/>
  <c r="Q335" i="1"/>
  <c r="Q333" i="1"/>
  <c r="Q308" i="1"/>
  <c r="Q306" i="1"/>
  <c r="Q311" i="1"/>
  <c r="Q309" i="1"/>
  <c r="Q313" i="1"/>
  <c r="Q314" i="1"/>
  <c r="Q285" i="1"/>
  <c r="Q281" i="1"/>
  <c r="Q287" i="1"/>
  <c r="Q289" i="1"/>
  <c r="Q278" i="1"/>
  <c r="Q293" i="1"/>
  <c r="Q267" i="1"/>
  <c r="Q263" i="1"/>
  <c r="Q273" i="1"/>
  <c r="Q269" i="1"/>
  <c r="Q272" i="1"/>
  <c r="Q231" i="1"/>
  <c r="Q240" i="1"/>
  <c r="Q247" i="1"/>
  <c r="Q245" i="1"/>
  <c r="Q238" i="1"/>
  <c r="Q244" i="1"/>
  <c r="Q239" i="1"/>
  <c r="Q228" i="1"/>
  <c r="Q202" i="1"/>
  <c r="Q193" i="1"/>
  <c r="Q197" i="1"/>
  <c r="Q207" i="1"/>
  <c r="Q203" i="1"/>
  <c r="Q167" i="1"/>
  <c r="Q171" i="1"/>
  <c r="Q174" i="1"/>
  <c r="Q181" i="1"/>
  <c r="Q166" i="1"/>
  <c r="Q169" i="1"/>
  <c r="Q178" i="1"/>
  <c r="Q112" i="1"/>
  <c r="Q79" i="1"/>
  <c r="Q96" i="1"/>
  <c r="Q95" i="1"/>
  <c r="Q88" i="1"/>
  <c r="Q91" i="1"/>
  <c r="Q80" i="1"/>
  <c r="Q65" i="1"/>
  <c r="Q57" i="1"/>
  <c r="Q56" i="1"/>
  <c r="Q63" i="1"/>
  <c r="Q66" i="1"/>
  <c r="Q61" i="1"/>
  <c r="Q60" i="1"/>
  <c r="Q59" i="1"/>
  <c r="Q74" i="1"/>
  <c r="Q38" i="1"/>
  <c r="Q40" i="1"/>
  <c r="Q45" i="1"/>
  <c r="Q43" i="1"/>
  <c r="Q35" i="1"/>
  <c r="Q34" i="1"/>
  <c r="Q39" i="1"/>
  <c r="Q50" i="1"/>
</calcChain>
</file>

<file path=xl/sharedStrings.xml><?xml version="1.0" encoding="utf-8"?>
<sst xmlns="http://schemas.openxmlformats.org/spreadsheetml/2006/main" count="609" uniqueCount="85">
  <si>
    <t>Outcome of POD across all possible combinations</t>
  </si>
  <si>
    <t>Number (/20) of positives from enrichments</t>
  </si>
  <si>
    <t>Nbr of 
"PASS"</t>
  </si>
  <si>
    <t>Number (/20) of positives from TSA agar platings</t>
  </si>
  <si>
    <t>PASS</t>
  </si>
  <si>
    <t>FAIL</t>
  </si>
  <si>
    <t>Nbr of "PASS"</t>
  </si>
  <si>
    <t>POD calculations</t>
  </si>
  <si>
    <t>Platings</t>
  </si>
  <si>
    <t>Enrichments</t>
  </si>
  <si>
    <t>Alternative final (AF)</t>
  </si>
  <si>
    <t>Reference (R)</t>
  </si>
  <si>
    <t>dPOD (AF, R)</t>
  </si>
  <si>
    <t>Decision</t>
  </si>
  <si>
    <t>Pos</t>
  </si>
  <si>
    <t>Neg</t>
  </si>
  <si>
    <t>POD</t>
  </si>
  <si>
    <t>LCL</t>
  </si>
  <si>
    <t>UCL</t>
  </si>
  <si>
    <t>dPOD</t>
  </si>
  <si>
    <t>Chi-squared test from a 2x2 contingency table</t>
  </si>
  <si>
    <t>Step 1 : Arrange data in a 2x2 contingency table</t>
  </si>
  <si>
    <t>Ground beef</t>
  </si>
  <si>
    <t>16 h</t>
  </si>
  <si>
    <t>Positive</t>
  </si>
  <si>
    <t>Negative</t>
  </si>
  <si>
    <t>Total</t>
  </si>
  <si>
    <t>Row</t>
  </si>
  <si>
    <t>Column</t>
  </si>
  <si>
    <t>Observed</t>
  </si>
  <si>
    <t>Expected</t>
  </si>
  <si>
    <r>
      <t>(O-E)</t>
    </r>
    <r>
      <rPr>
        <vertAlign val="superscript"/>
        <sz val="11"/>
        <color rgb="FF000000"/>
        <rFont val="Aptos"/>
        <family val="2"/>
      </rPr>
      <t xml:space="preserve">2 </t>
    </r>
    <r>
      <rPr>
        <sz val="11"/>
        <color theme="1"/>
        <rFont val="Calibri"/>
        <family val="2"/>
      </rPr>
      <t>/ E</t>
    </r>
  </si>
  <si>
    <t>Chi-squared</t>
  </si>
  <si>
    <t>Significance</t>
  </si>
  <si>
    <t>Outcome 1</t>
  </si>
  <si>
    <t>Outcome 2</t>
  </si>
  <si>
    <t>Recovery on TSA</t>
  </si>
  <si>
    <t>df</t>
  </si>
  <si>
    <t>Treatment 1</t>
  </si>
  <si>
    <t>r1·</t>
  </si>
  <si>
    <t>Recovery with VTEC method</t>
  </si>
  <si>
    <t>p-value</t>
  </si>
  <si>
    <t>ns</t>
  </si>
  <si>
    <t>Treatment 2</t>
  </si>
  <si>
    <t>r2·</t>
  </si>
  <si>
    <t>·c1</t>
  </si>
  <si>
    <t>·c2</t>
  </si>
  <si>
    <t>··</t>
  </si>
  <si>
    <t>where</t>
  </si>
  <si>
    <t>24 h</t>
  </si>
  <si>
    <t>r1· =</t>
  </si>
  <si>
    <t>Sum of all cells in row 1</t>
  </si>
  <si>
    <t>r2· =</t>
  </si>
  <si>
    <t>Sum of all cells in row 2</t>
  </si>
  <si>
    <t>·c1 =</t>
  </si>
  <si>
    <t>Sum of all cells in column 1</t>
  </si>
  <si>
    <t>·c2 =</t>
  </si>
  <si>
    <t>Sum of all cells in column 2</t>
  </si>
  <si>
    <t>·· =</t>
  </si>
  <si>
    <t>Sum of all cells</t>
  </si>
  <si>
    <t>Romaine lettuce</t>
  </si>
  <si>
    <t>Step 2 : Calculate expected frequencies</t>
  </si>
  <si>
    <t>Expected frequency of any cell = (sum of all cells in row) * (sum of all cells in column) / (sum of all cells)</t>
  </si>
  <si>
    <t>s</t>
  </si>
  <si>
    <t>Step 3 : Calculate Chi-squared</t>
  </si>
  <si>
    <t>The value of Chi-squared is obtained with the following formula :</t>
  </si>
  <si>
    <t>Raw milk cheese</t>
  </si>
  <si>
    <t>Raw milk cheese - 16 h</t>
  </si>
  <si>
    <r>
      <t>X</t>
    </r>
    <r>
      <rPr>
        <vertAlign val="superscript"/>
        <sz val="11"/>
        <color rgb="FF000000"/>
        <rFont val="Aptos"/>
        <family val="2"/>
      </rPr>
      <t>2</t>
    </r>
    <r>
      <rPr>
        <sz val="11"/>
        <color theme="1"/>
        <rFont val="Calibri"/>
        <family val="2"/>
      </rPr>
      <t xml:space="preserve"> =</t>
    </r>
  </si>
  <si>
    <t>Chi squared</t>
  </si>
  <si>
    <t>r =</t>
  </si>
  <si>
    <t>Row number</t>
  </si>
  <si>
    <t>c =</t>
  </si>
  <si>
    <t>Column number</t>
  </si>
  <si>
    <t>O =</t>
  </si>
  <si>
    <t>Observed frequency</t>
  </si>
  <si>
    <t>E =</t>
  </si>
  <si>
    <t>Expected frequency</t>
  </si>
  <si>
    <t>Raw milk cheese - 24 h</t>
  </si>
  <si>
    <t>Step 4 : Calculate the degrees of freedom</t>
  </si>
  <si>
    <t xml:space="preserve">df = </t>
  </si>
  <si>
    <t>(number of rows-1) * (number of columns -1)</t>
  </si>
  <si>
    <t>(2-1) * (2-1) = 1</t>
  </si>
  <si>
    <t>Step 5 : Obtain p-value</t>
  </si>
  <si>
    <r>
      <t>From the value of X</t>
    </r>
    <r>
      <rPr>
        <vertAlign val="superscript"/>
        <sz val="11"/>
        <color rgb="FF000000"/>
        <rFont val="Aptos"/>
        <family val="2"/>
      </rPr>
      <t>2</t>
    </r>
    <r>
      <rPr>
        <sz val="11"/>
        <color theme="1"/>
        <rFont val="Calibri"/>
        <family val="2"/>
      </rPr>
      <t>, the p-value is obtained with the formula "=CHISQ.DIST.RT(</t>
    </r>
    <r>
      <rPr>
        <i/>
        <sz val="11"/>
        <color rgb="FF000000"/>
        <rFont val="Aptos"/>
        <family val="2"/>
      </rPr>
      <t>chi_squared_value, degrees_freedom</t>
    </r>
    <r>
      <rPr>
        <sz val="11"/>
        <color theme="1"/>
        <rFont val="Calibri"/>
        <family val="2"/>
      </rPr>
      <t>)"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</si>
</sst>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Aptos"/>
      <family val="2"/>
    </font>
    <font>
      <sz val="11"/>
      <color theme="1"/>
      <name val="Aptos"/>
      <family val="2"/>
    </font>
    <font>
      <b/>
      <sz val="12"/>
      <color rgb="FF000000"/>
      <name val="Aptos"/>
      <family val="2"/>
    </font>
    <font>
      <sz val="16"/>
      <color rgb="FF000000"/>
      <name val="Aptos"/>
      <family val="2"/>
    </font>
    <font>
      <b/>
      <sz val="11"/>
      <color rgb="FF000000"/>
      <name val="Aptos"/>
      <family val="2"/>
    </font>
    <font>
      <vertAlign val="superscript"/>
      <sz val="11"/>
      <color rgb="FF000000"/>
      <name val="Aptos"/>
      <family val="2"/>
    </font>
    <font>
      <sz val="7"/>
      <color rgb="FF000000"/>
      <name val="Arial"/>
      <family val="2"/>
    </font>
    <font>
      <i/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4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833437</xdr:colOff>
      <xdr:row>24</xdr:row>
      <xdr:rowOff>100012</xdr:rowOff>
    </xdr:from>
    <xdr:ext cx="2524665" cy="7722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AB1720F-8351-4150-82A9-1CA280042D1C}"/>
                </a:ext>
              </a:extLst>
            </xdr:cNvPr>
            <xdr:cNvSpPr txBox="1"/>
          </xdr:nvSpPr>
          <xdr:spPr>
            <a:xfrm>
              <a:off x="1668462" y="4779962"/>
              <a:ext cx="2524665" cy="772263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p>
                        <m: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kumimoji="0" lang="fr-CA" sz="18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ctrlP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kumimoji="0" lang="fr-CA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sup>
                      <m:e>
                        <m:nary>
                          <m:naryPr>
                            <m:chr m:val="∑"/>
                            <m:ctrlPr>
                              <a:rPr kumimoji="0" lang="fr-CA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0" lang="fr-CA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0" lang="fr-CA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kumimoji="0" lang="fr-CA" sz="18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</m:t>
                            </m:r>
                          </m:sup>
                          <m:e>
                            <m:f>
                              <m:fPr>
                                <m:ctrlPr>
                                  <a:rPr kumimoji="0" lang="fr-CA" sz="18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0" lang="fr-CA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0" lang="fr-CA" sz="1800" b="0" i="1" u="none" strike="noStrike" kern="0" cap="none" spc="0" normalizeH="0" baseline="0" noProof="0">
                                            <a:ln>
                                              <a:noFill/>
                                            </a:ln>
                                            <a:solidFill>
                                              <a:sysClr val="windowText" lastClr="000000"/>
                                            </a:solidFill>
                                            <a:effectLst/>
                                            <a:uLnTx/>
                                            <a:uFillTx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kumimoji="0" lang="fr-CA" sz="1800" b="0" i="1" u="none" strike="noStrike" kern="0" cap="none" spc="0" normalizeH="0" baseline="0" noProof="0">
                                                <a:ln>
                                                  <a:noFill/>
                                                </a:ln>
                                                <a:solidFill>
                                                  <a:sysClr val="windowText" lastClr="000000"/>
                                                </a:solidFill>
                                                <a:effectLst/>
                                                <a:uLnTx/>
                                                <a:uFillTx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0" lang="fr-CA" sz="1800" b="0" i="1" u="none" strike="noStrike" kern="0" cap="none" spc="0" normalizeH="0" baseline="0" noProof="0">
                                                <a:ln>
                                                  <a:noFill/>
                                                </a:ln>
                                                <a:solidFill>
                                                  <a:sysClr val="windowText" lastClr="000000"/>
                                                </a:solidFill>
                                                <a:effectLst/>
                                                <a:uLnTx/>
                                                <a:uFillTx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𝑂</m:t>
                                            </m:r>
                                          </m:e>
                                          <m:sub>
                                            <m:r>
                                              <a:rPr kumimoji="0" lang="fr-CA" sz="1800" b="0" i="1" u="none" strike="noStrike" kern="0" cap="none" spc="0" normalizeH="0" baseline="0" noProof="0">
                                                <a:ln>
                                                  <a:noFill/>
                                                </a:ln>
                                                <a:solidFill>
                                                  <a:sysClr val="windowText" lastClr="000000"/>
                                                </a:solidFill>
                                                <a:effectLst/>
                                                <a:uLnTx/>
                                                <a:uFillTx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𝑖𝑗</m:t>
                                            </m:r>
                                          </m:sub>
                                        </m:sSub>
                                        <m:r>
                                          <a:rPr kumimoji="0" lang="fr-CA" sz="1800" b="0" i="1" u="none" strike="noStrike" kern="0" cap="none" spc="0" normalizeH="0" baseline="0" noProof="0">
                                            <a:ln>
                                              <a:noFill/>
                                            </a:ln>
                                            <a:solidFill>
                                              <a:sysClr val="windowText" lastClr="000000"/>
                                            </a:solidFill>
                                            <a:effectLst/>
                                            <a:uLnTx/>
                                            <a:uFillTx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 </m:t>
                                        </m:r>
                                        <m:sSub>
                                          <m:sSubPr>
                                            <m:ctrlPr>
                                              <a:rPr kumimoji="0" lang="fr-CA" sz="1800" b="0" i="1" u="none" strike="noStrike" kern="0" cap="none" spc="0" normalizeH="0" baseline="0" noProof="0">
                                                <a:ln>
                                                  <a:noFill/>
                                                </a:ln>
                                                <a:solidFill>
                                                  <a:sysClr val="windowText" lastClr="000000"/>
                                                </a:solidFill>
                                                <a:effectLst/>
                                                <a:uLnTx/>
                                                <a:uFillTx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0" lang="fr-CA" sz="1800" b="0" i="1" u="none" strike="noStrike" kern="0" cap="none" spc="0" normalizeH="0" baseline="0" noProof="0">
                                                <a:ln>
                                                  <a:noFill/>
                                                </a:ln>
                                                <a:solidFill>
                                                  <a:sysClr val="windowText" lastClr="000000"/>
                                                </a:solidFill>
                                                <a:effectLst/>
                                                <a:uLnTx/>
                                                <a:uFillTx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𝐸</m:t>
                                            </m:r>
                                          </m:e>
                                          <m:sub>
                                            <m:r>
                                              <a:rPr kumimoji="0" lang="fr-CA" sz="1800" b="0" i="1" u="none" strike="noStrike" kern="0" cap="none" spc="0" normalizeH="0" baseline="0" noProof="0">
                                                <a:ln>
                                                  <a:noFill/>
                                                </a:ln>
                                                <a:solidFill>
                                                  <a:sysClr val="windowText" lastClr="000000"/>
                                                </a:solidFill>
                                                <a:effectLst/>
                                                <a:uLnTx/>
                                                <a:uFillTx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𝑖𝑗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0" lang="fr-CA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b>
                                  <m:sSubPr>
                                    <m:ctrlPr>
                                      <a:rPr kumimoji="0" lang="fr-CA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0" lang="fr-CA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</m:e>
                                  <m:sub>
                                    <m:r>
                                      <a:rPr kumimoji="0" lang="fr-CA" sz="18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𝑖𝑗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e>
                    </m:nary>
                  </m:oMath>
                </m:oMathPara>
              </a14:m>
              <a:endParaRPr kumimoji="0" lang="fr-CA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AB1720F-8351-4150-82A9-1CA280042D1C}"/>
                </a:ext>
              </a:extLst>
            </xdr:cNvPr>
            <xdr:cNvSpPr txBox="1"/>
          </xdr:nvSpPr>
          <xdr:spPr>
            <a:xfrm>
              <a:off x="1668462" y="4779962"/>
              <a:ext cx="2524665" cy="772263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fr-CA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𝑋^2=∑_(𝑖=1)^𝑟▒∑_(𝑖=1)^𝑐▒(𝑂_𝑖𝑗− 𝐸_𝑖𝑗 )^2/𝐸_𝑖𝑗 </a:t>
              </a:r>
              <a:endParaRPr kumimoji="0" lang="fr-CA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562D-2F31-4546-82E7-C1879C59EA58}">
  <dimension ref="B2:Y493"/>
  <sheetViews>
    <sheetView zoomScaleNormal="100" workbookViewId="0">
      <selection activeCell="E30" sqref="E30"/>
    </sheetView>
  </sheetViews>
  <sheetFormatPr defaultColWidth="11.42578125" defaultRowHeight="14.45"/>
  <cols>
    <col min="2" max="24" width="10" customWidth="1"/>
  </cols>
  <sheetData>
    <row r="2" spans="2:25" ht="23.45">
      <c r="B2" s="29" t="s">
        <v>0</v>
      </c>
    </row>
    <row r="3" spans="2:25" ht="15" thickBot="1"/>
    <row r="4" spans="2:25">
      <c r="D4" s="85" t="s">
        <v>1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7"/>
      <c r="Y4" s="83" t="s">
        <v>2</v>
      </c>
    </row>
    <row r="5" spans="2:25" ht="15" thickBot="1">
      <c r="D5" s="34">
        <v>0</v>
      </c>
      <c r="E5" s="35">
        <v>1</v>
      </c>
      <c r="F5" s="35">
        <v>2</v>
      </c>
      <c r="G5" s="35">
        <v>3</v>
      </c>
      <c r="H5" s="35">
        <v>4</v>
      </c>
      <c r="I5" s="35">
        <v>5</v>
      </c>
      <c r="J5" s="35">
        <v>6</v>
      </c>
      <c r="K5" s="35">
        <v>7</v>
      </c>
      <c r="L5" s="35">
        <v>8</v>
      </c>
      <c r="M5" s="35">
        <v>9</v>
      </c>
      <c r="N5" s="35">
        <v>10</v>
      </c>
      <c r="O5" s="35">
        <v>11</v>
      </c>
      <c r="P5" s="35">
        <v>12</v>
      </c>
      <c r="Q5" s="35">
        <v>13</v>
      </c>
      <c r="R5" s="35">
        <v>14</v>
      </c>
      <c r="S5" s="35">
        <v>15</v>
      </c>
      <c r="T5" s="35">
        <v>16</v>
      </c>
      <c r="U5" s="35">
        <v>17</v>
      </c>
      <c r="V5" s="35">
        <v>18</v>
      </c>
      <c r="W5" s="35">
        <v>19</v>
      </c>
      <c r="X5" s="36">
        <v>20</v>
      </c>
      <c r="Y5" s="84"/>
    </row>
    <row r="6" spans="2:25">
      <c r="B6" s="88" t="s">
        <v>3</v>
      </c>
      <c r="C6" s="33">
        <v>0</v>
      </c>
      <c r="D6" s="19" t="s">
        <v>4</v>
      </c>
      <c r="E6" s="20" t="s">
        <v>4</v>
      </c>
      <c r="F6" s="20" t="s">
        <v>4</v>
      </c>
      <c r="G6" s="20" t="s">
        <v>5</v>
      </c>
      <c r="H6" s="20" t="s">
        <v>5</v>
      </c>
      <c r="I6" s="20" t="s">
        <v>5</v>
      </c>
      <c r="J6" s="20" t="s">
        <v>5</v>
      </c>
      <c r="K6" s="20" t="s">
        <v>5</v>
      </c>
      <c r="L6" s="20" t="s">
        <v>5</v>
      </c>
      <c r="M6" s="20" t="s">
        <v>5</v>
      </c>
      <c r="N6" s="20" t="s">
        <v>5</v>
      </c>
      <c r="O6" s="20" t="s">
        <v>5</v>
      </c>
      <c r="P6" s="20" t="s">
        <v>5</v>
      </c>
      <c r="Q6" s="20" t="s">
        <v>5</v>
      </c>
      <c r="R6" s="20" t="s">
        <v>5</v>
      </c>
      <c r="S6" s="20" t="s">
        <v>5</v>
      </c>
      <c r="T6" s="20" t="s">
        <v>5</v>
      </c>
      <c r="U6" s="20" t="s">
        <v>5</v>
      </c>
      <c r="V6" s="20" t="s">
        <v>5</v>
      </c>
      <c r="W6" s="20" t="s">
        <v>5</v>
      </c>
      <c r="X6" s="21" t="s">
        <v>5</v>
      </c>
      <c r="Y6" s="18">
        <f>COUNTIF(D6:X6,"PASS")</f>
        <v>3</v>
      </c>
    </row>
    <row r="7" spans="2:25">
      <c r="B7" s="89"/>
      <c r="C7" s="35">
        <v>1</v>
      </c>
      <c r="D7" s="22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5</v>
      </c>
      <c r="J7" s="17" t="s">
        <v>5</v>
      </c>
      <c r="K7" s="17" t="s">
        <v>5</v>
      </c>
      <c r="L7" s="17" t="s">
        <v>5</v>
      </c>
      <c r="M7" s="17" t="s">
        <v>5</v>
      </c>
      <c r="N7" s="17" t="s">
        <v>5</v>
      </c>
      <c r="O7" s="17" t="s">
        <v>5</v>
      </c>
      <c r="P7" s="17" t="s">
        <v>5</v>
      </c>
      <c r="Q7" s="17" t="s">
        <v>5</v>
      </c>
      <c r="R7" s="17" t="s">
        <v>5</v>
      </c>
      <c r="S7" s="17" t="s">
        <v>5</v>
      </c>
      <c r="T7" s="17" t="s">
        <v>5</v>
      </c>
      <c r="U7" s="17" t="s">
        <v>5</v>
      </c>
      <c r="V7" s="17" t="s">
        <v>5</v>
      </c>
      <c r="W7" s="17" t="s">
        <v>5</v>
      </c>
      <c r="X7" s="23" t="s">
        <v>5</v>
      </c>
      <c r="Y7" s="18">
        <f t="shared" ref="Y7:Y26" si="0">COUNTIF(D7:X7,"PASS")</f>
        <v>5</v>
      </c>
    </row>
    <row r="8" spans="2:25">
      <c r="B8" s="89"/>
      <c r="C8" s="35">
        <v>2</v>
      </c>
      <c r="D8" s="22" t="s">
        <v>4</v>
      </c>
      <c r="E8" s="17" t="s">
        <v>4</v>
      </c>
      <c r="F8" s="17" t="s">
        <v>4</v>
      </c>
      <c r="G8" s="17" t="s">
        <v>4</v>
      </c>
      <c r="H8" s="17" t="s">
        <v>4</v>
      </c>
      <c r="I8" s="17" t="s">
        <v>4</v>
      </c>
      <c r="J8" s="17" t="s">
        <v>4</v>
      </c>
      <c r="K8" s="17" t="s">
        <v>5</v>
      </c>
      <c r="L8" s="17" t="s">
        <v>5</v>
      </c>
      <c r="M8" s="17" t="s">
        <v>5</v>
      </c>
      <c r="N8" s="17" t="s">
        <v>5</v>
      </c>
      <c r="O8" s="17" t="s">
        <v>5</v>
      </c>
      <c r="P8" s="17" t="s">
        <v>5</v>
      </c>
      <c r="Q8" s="17" t="s">
        <v>5</v>
      </c>
      <c r="R8" s="17" t="s">
        <v>5</v>
      </c>
      <c r="S8" s="17" t="s">
        <v>5</v>
      </c>
      <c r="T8" s="17" t="s">
        <v>5</v>
      </c>
      <c r="U8" s="17" t="s">
        <v>5</v>
      </c>
      <c r="V8" s="17" t="s">
        <v>5</v>
      </c>
      <c r="W8" s="17" t="s">
        <v>5</v>
      </c>
      <c r="X8" s="23" t="s">
        <v>5</v>
      </c>
      <c r="Y8" s="18">
        <f t="shared" si="0"/>
        <v>7</v>
      </c>
    </row>
    <row r="9" spans="2:25">
      <c r="B9" s="89"/>
      <c r="C9" s="35">
        <v>3</v>
      </c>
      <c r="D9" s="22" t="s">
        <v>5</v>
      </c>
      <c r="E9" s="17" t="s">
        <v>4</v>
      </c>
      <c r="F9" s="17" t="s">
        <v>4</v>
      </c>
      <c r="G9" s="17" t="s">
        <v>4</v>
      </c>
      <c r="H9" s="17" t="s">
        <v>4</v>
      </c>
      <c r="I9" s="17" t="s">
        <v>4</v>
      </c>
      <c r="J9" s="17" t="s">
        <v>4</v>
      </c>
      <c r="K9" s="17" t="s">
        <v>4</v>
      </c>
      <c r="L9" s="17" t="s">
        <v>5</v>
      </c>
      <c r="M9" s="17" t="s">
        <v>5</v>
      </c>
      <c r="N9" s="17" t="s">
        <v>5</v>
      </c>
      <c r="O9" s="17" t="s">
        <v>5</v>
      </c>
      <c r="P9" s="17" t="s">
        <v>5</v>
      </c>
      <c r="Q9" s="17" t="s">
        <v>5</v>
      </c>
      <c r="R9" s="17" t="s">
        <v>5</v>
      </c>
      <c r="S9" s="17" t="s">
        <v>5</v>
      </c>
      <c r="T9" s="17" t="s">
        <v>5</v>
      </c>
      <c r="U9" s="17" t="s">
        <v>5</v>
      </c>
      <c r="V9" s="17" t="s">
        <v>5</v>
      </c>
      <c r="W9" s="17" t="s">
        <v>5</v>
      </c>
      <c r="X9" s="23" t="s">
        <v>5</v>
      </c>
      <c r="Y9" s="18">
        <f t="shared" si="0"/>
        <v>7</v>
      </c>
    </row>
    <row r="10" spans="2:25">
      <c r="B10" s="89"/>
      <c r="C10" s="35">
        <v>4</v>
      </c>
      <c r="D10" s="22" t="s">
        <v>5</v>
      </c>
      <c r="E10" s="17" t="s">
        <v>4</v>
      </c>
      <c r="F10" s="17" t="s">
        <v>4</v>
      </c>
      <c r="G10" s="17" t="s">
        <v>4</v>
      </c>
      <c r="H10" s="17" t="s">
        <v>4</v>
      </c>
      <c r="I10" s="17" t="s">
        <v>4</v>
      </c>
      <c r="J10" s="17" t="s">
        <v>4</v>
      </c>
      <c r="K10" s="17" t="s">
        <v>4</v>
      </c>
      <c r="L10" s="17" t="s">
        <v>4</v>
      </c>
      <c r="M10" s="17" t="s">
        <v>5</v>
      </c>
      <c r="N10" s="17" t="s">
        <v>5</v>
      </c>
      <c r="O10" s="17" t="s">
        <v>5</v>
      </c>
      <c r="P10" s="17" t="s">
        <v>5</v>
      </c>
      <c r="Q10" s="17" t="s">
        <v>5</v>
      </c>
      <c r="R10" s="17" t="s">
        <v>5</v>
      </c>
      <c r="S10" s="17" t="s">
        <v>5</v>
      </c>
      <c r="T10" s="17" t="s">
        <v>5</v>
      </c>
      <c r="U10" s="17" t="s">
        <v>5</v>
      </c>
      <c r="V10" s="17" t="s">
        <v>5</v>
      </c>
      <c r="W10" s="17" t="s">
        <v>5</v>
      </c>
      <c r="X10" s="23" t="s">
        <v>5</v>
      </c>
      <c r="Y10" s="18">
        <f t="shared" si="0"/>
        <v>8</v>
      </c>
    </row>
    <row r="11" spans="2:25">
      <c r="B11" s="89"/>
      <c r="C11" s="35">
        <v>5</v>
      </c>
      <c r="D11" s="22" t="s">
        <v>5</v>
      </c>
      <c r="E11" s="17" t="s">
        <v>5</v>
      </c>
      <c r="F11" s="17" t="s">
        <v>4</v>
      </c>
      <c r="G11" s="17" t="s">
        <v>4</v>
      </c>
      <c r="H11" s="17" t="s">
        <v>4</v>
      </c>
      <c r="I11" s="17" t="s">
        <v>4</v>
      </c>
      <c r="J11" s="17" t="s">
        <v>4</v>
      </c>
      <c r="K11" s="17" t="s">
        <v>4</v>
      </c>
      <c r="L11" s="17" t="s">
        <v>4</v>
      </c>
      <c r="M11" s="17" t="s">
        <v>4</v>
      </c>
      <c r="N11" s="17" t="s">
        <v>4</v>
      </c>
      <c r="O11" s="17" t="s">
        <v>5</v>
      </c>
      <c r="P11" s="17" t="s">
        <v>5</v>
      </c>
      <c r="Q11" s="17" t="s">
        <v>5</v>
      </c>
      <c r="R11" s="17" t="s">
        <v>5</v>
      </c>
      <c r="S11" s="17" t="s">
        <v>5</v>
      </c>
      <c r="T11" s="17" t="s">
        <v>5</v>
      </c>
      <c r="U11" s="17" t="s">
        <v>5</v>
      </c>
      <c r="V11" s="17" t="s">
        <v>5</v>
      </c>
      <c r="W11" s="17" t="s">
        <v>5</v>
      </c>
      <c r="X11" s="23" t="s">
        <v>5</v>
      </c>
      <c r="Y11" s="18">
        <f t="shared" si="0"/>
        <v>9</v>
      </c>
    </row>
    <row r="12" spans="2:25">
      <c r="B12" s="89"/>
      <c r="C12" s="35">
        <v>6</v>
      </c>
      <c r="D12" s="22" t="s">
        <v>5</v>
      </c>
      <c r="E12" s="17" t="s">
        <v>5</v>
      </c>
      <c r="F12" s="17" t="s">
        <v>4</v>
      </c>
      <c r="G12" s="17" t="s">
        <v>4</v>
      </c>
      <c r="H12" s="17" t="s">
        <v>4</v>
      </c>
      <c r="I12" s="17" t="s">
        <v>4</v>
      </c>
      <c r="J12" s="17" t="s">
        <v>4</v>
      </c>
      <c r="K12" s="17" t="s">
        <v>4</v>
      </c>
      <c r="L12" s="17" t="s">
        <v>4</v>
      </c>
      <c r="M12" s="17" t="s">
        <v>4</v>
      </c>
      <c r="N12" s="17" t="s">
        <v>4</v>
      </c>
      <c r="O12" s="17" t="s">
        <v>4</v>
      </c>
      <c r="P12" s="17" t="s">
        <v>5</v>
      </c>
      <c r="Q12" s="17" t="s">
        <v>5</v>
      </c>
      <c r="R12" s="17" t="s">
        <v>5</v>
      </c>
      <c r="S12" s="17" t="s">
        <v>5</v>
      </c>
      <c r="T12" s="17" t="s">
        <v>5</v>
      </c>
      <c r="U12" s="17" t="s">
        <v>5</v>
      </c>
      <c r="V12" s="17" t="s">
        <v>5</v>
      </c>
      <c r="W12" s="17" t="s">
        <v>5</v>
      </c>
      <c r="X12" s="23" t="s">
        <v>5</v>
      </c>
      <c r="Y12" s="18">
        <f t="shared" si="0"/>
        <v>10</v>
      </c>
    </row>
    <row r="13" spans="2:25">
      <c r="B13" s="89"/>
      <c r="C13" s="35">
        <v>7</v>
      </c>
      <c r="D13" s="22" t="s">
        <v>5</v>
      </c>
      <c r="E13" s="17" t="s">
        <v>5</v>
      </c>
      <c r="F13" s="17" t="s">
        <v>5</v>
      </c>
      <c r="G13" s="17" t="s">
        <v>4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 t="s">
        <v>4</v>
      </c>
      <c r="N13" s="17" t="s">
        <v>4</v>
      </c>
      <c r="O13" s="17" t="s">
        <v>4</v>
      </c>
      <c r="P13" s="17" t="s">
        <v>4</v>
      </c>
      <c r="Q13" s="17" t="s">
        <v>5</v>
      </c>
      <c r="R13" s="17" t="s">
        <v>5</v>
      </c>
      <c r="S13" s="17" t="s">
        <v>5</v>
      </c>
      <c r="T13" s="17" t="s">
        <v>5</v>
      </c>
      <c r="U13" s="17" t="s">
        <v>5</v>
      </c>
      <c r="V13" s="17" t="s">
        <v>5</v>
      </c>
      <c r="W13" s="17" t="s">
        <v>5</v>
      </c>
      <c r="X13" s="23" t="s">
        <v>5</v>
      </c>
      <c r="Y13" s="18">
        <f t="shared" si="0"/>
        <v>10</v>
      </c>
    </row>
    <row r="14" spans="2:25">
      <c r="B14" s="89"/>
      <c r="C14" s="35">
        <v>8</v>
      </c>
      <c r="D14" s="22" t="s">
        <v>5</v>
      </c>
      <c r="E14" s="17" t="s">
        <v>5</v>
      </c>
      <c r="F14" s="17" t="s">
        <v>5</v>
      </c>
      <c r="G14" s="17" t="s">
        <v>5</v>
      </c>
      <c r="H14" s="17" t="s">
        <v>4</v>
      </c>
      <c r="I14" s="17" t="s">
        <v>4</v>
      </c>
      <c r="J14" s="17" t="s">
        <v>4</v>
      </c>
      <c r="K14" s="17" t="s">
        <v>4</v>
      </c>
      <c r="L14" s="17" t="s">
        <v>4</v>
      </c>
      <c r="M14" s="17" t="s">
        <v>4</v>
      </c>
      <c r="N14" s="17" t="s">
        <v>4</v>
      </c>
      <c r="O14" s="17" t="s">
        <v>4</v>
      </c>
      <c r="P14" s="17" t="s">
        <v>4</v>
      </c>
      <c r="Q14" s="17" t="s">
        <v>4</v>
      </c>
      <c r="R14" s="17" t="s">
        <v>5</v>
      </c>
      <c r="S14" s="17" t="s">
        <v>5</v>
      </c>
      <c r="T14" s="17" t="s">
        <v>5</v>
      </c>
      <c r="U14" s="17" t="s">
        <v>5</v>
      </c>
      <c r="V14" s="17" t="s">
        <v>5</v>
      </c>
      <c r="W14" s="17" t="s">
        <v>5</v>
      </c>
      <c r="X14" s="23" t="s">
        <v>5</v>
      </c>
      <c r="Y14" s="18">
        <f t="shared" si="0"/>
        <v>10</v>
      </c>
    </row>
    <row r="15" spans="2:25">
      <c r="B15" s="89"/>
      <c r="C15" s="35">
        <v>9</v>
      </c>
      <c r="D15" s="22" t="s">
        <v>5</v>
      </c>
      <c r="E15" s="17" t="s">
        <v>5</v>
      </c>
      <c r="F15" s="17" t="s">
        <v>5</v>
      </c>
      <c r="G15" s="17" t="s">
        <v>5</v>
      </c>
      <c r="H15" s="17" t="s">
        <v>5</v>
      </c>
      <c r="I15" s="17" t="s">
        <v>4</v>
      </c>
      <c r="J15" s="17" t="s">
        <v>4</v>
      </c>
      <c r="K15" s="17" t="s">
        <v>4</v>
      </c>
      <c r="L15" s="17" t="s">
        <v>4</v>
      </c>
      <c r="M15" s="17" t="s">
        <v>4</v>
      </c>
      <c r="N15" s="17" t="s">
        <v>4</v>
      </c>
      <c r="O15" s="17" t="s">
        <v>4</v>
      </c>
      <c r="P15" s="17" t="s">
        <v>4</v>
      </c>
      <c r="Q15" s="17" t="s">
        <v>4</v>
      </c>
      <c r="R15" s="17" t="s">
        <v>4</v>
      </c>
      <c r="S15" s="17" t="s">
        <v>5</v>
      </c>
      <c r="T15" s="17" t="s">
        <v>5</v>
      </c>
      <c r="U15" s="17" t="s">
        <v>5</v>
      </c>
      <c r="V15" s="17" t="s">
        <v>5</v>
      </c>
      <c r="W15" s="17" t="s">
        <v>5</v>
      </c>
      <c r="X15" s="23" t="s">
        <v>5</v>
      </c>
      <c r="Y15" s="18">
        <f t="shared" si="0"/>
        <v>10</v>
      </c>
    </row>
    <row r="16" spans="2:25">
      <c r="B16" s="89"/>
      <c r="C16" s="35">
        <v>10</v>
      </c>
      <c r="D16" s="22" t="s">
        <v>5</v>
      </c>
      <c r="E16" s="17" t="s">
        <v>5</v>
      </c>
      <c r="F16" s="17" t="s">
        <v>5</v>
      </c>
      <c r="G16" s="17" t="s">
        <v>5</v>
      </c>
      <c r="H16" s="17" t="s">
        <v>5</v>
      </c>
      <c r="I16" s="17" t="s">
        <v>4</v>
      </c>
      <c r="J16" s="17" t="s">
        <v>4</v>
      </c>
      <c r="K16" s="17" t="s">
        <v>4</v>
      </c>
      <c r="L16" s="17" t="s">
        <v>4</v>
      </c>
      <c r="M16" s="17" t="s">
        <v>4</v>
      </c>
      <c r="N16" s="17" t="s">
        <v>4</v>
      </c>
      <c r="O16" s="17" t="s">
        <v>4</v>
      </c>
      <c r="P16" s="17" t="s">
        <v>4</v>
      </c>
      <c r="Q16" s="17" t="s">
        <v>4</v>
      </c>
      <c r="R16" s="17" t="s">
        <v>4</v>
      </c>
      <c r="S16" s="17" t="s">
        <v>4</v>
      </c>
      <c r="T16" s="17" t="s">
        <v>5</v>
      </c>
      <c r="U16" s="17" t="s">
        <v>5</v>
      </c>
      <c r="V16" s="17" t="s">
        <v>5</v>
      </c>
      <c r="W16" s="17" t="s">
        <v>5</v>
      </c>
      <c r="X16" s="23" t="s">
        <v>5</v>
      </c>
      <c r="Y16" s="18">
        <f t="shared" si="0"/>
        <v>11</v>
      </c>
    </row>
    <row r="17" spans="2:25">
      <c r="B17" s="89"/>
      <c r="C17" s="35">
        <v>11</v>
      </c>
      <c r="D17" s="22" t="s">
        <v>5</v>
      </c>
      <c r="E17" s="17" t="s">
        <v>5</v>
      </c>
      <c r="F17" s="17" t="s">
        <v>5</v>
      </c>
      <c r="G17" s="17" t="s">
        <v>5</v>
      </c>
      <c r="H17" s="17" t="s">
        <v>5</v>
      </c>
      <c r="I17" s="17" t="s">
        <v>5</v>
      </c>
      <c r="J17" s="17" t="s">
        <v>4</v>
      </c>
      <c r="K17" s="17" t="s">
        <v>4</v>
      </c>
      <c r="L17" s="17" t="s">
        <v>4</v>
      </c>
      <c r="M17" s="17" t="s">
        <v>4</v>
      </c>
      <c r="N17" s="17" t="s">
        <v>4</v>
      </c>
      <c r="O17" s="17" t="s">
        <v>4</v>
      </c>
      <c r="P17" s="17" t="s">
        <v>4</v>
      </c>
      <c r="Q17" s="17" t="s">
        <v>4</v>
      </c>
      <c r="R17" s="17" t="s">
        <v>4</v>
      </c>
      <c r="S17" s="17" t="s">
        <v>4</v>
      </c>
      <c r="T17" s="17" t="s">
        <v>5</v>
      </c>
      <c r="U17" s="17" t="s">
        <v>5</v>
      </c>
      <c r="V17" s="17" t="s">
        <v>5</v>
      </c>
      <c r="W17" s="17" t="s">
        <v>5</v>
      </c>
      <c r="X17" s="23" t="s">
        <v>5</v>
      </c>
      <c r="Y17" s="18">
        <f t="shared" si="0"/>
        <v>10</v>
      </c>
    </row>
    <row r="18" spans="2:25">
      <c r="B18" s="89"/>
      <c r="C18" s="35">
        <v>12</v>
      </c>
      <c r="D18" s="22" t="s">
        <v>5</v>
      </c>
      <c r="E18" s="17" t="s">
        <v>5</v>
      </c>
      <c r="F18" s="17" t="s">
        <v>5</v>
      </c>
      <c r="G18" s="17" t="s">
        <v>5</v>
      </c>
      <c r="H18" s="17" t="s">
        <v>5</v>
      </c>
      <c r="I18" s="17" t="s">
        <v>5</v>
      </c>
      <c r="J18" s="17" t="s">
        <v>5</v>
      </c>
      <c r="K18" s="17" t="s">
        <v>4</v>
      </c>
      <c r="L18" s="17" t="s">
        <v>4</v>
      </c>
      <c r="M18" s="17" t="s">
        <v>4</v>
      </c>
      <c r="N18" s="17" t="s">
        <v>4</v>
      </c>
      <c r="O18" s="17" t="s">
        <v>4</v>
      </c>
      <c r="P18" s="17" t="s">
        <v>4</v>
      </c>
      <c r="Q18" s="17" t="s">
        <v>4</v>
      </c>
      <c r="R18" s="17" t="s">
        <v>4</v>
      </c>
      <c r="S18" s="17" t="s">
        <v>4</v>
      </c>
      <c r="T18" s="17" t="s">
        <v>4</v>
      </c>
      <c r="U18" s="17" t="s">
        <v>5</v>
      </c>
      <c r="V18" s="17" t="s">
        <v>5</v>
      </c>
      <c r="W18" s="17" t="s">
        <v>5</v>
      </c>
      <c r="X18" s="23" t="s">
        <v>5</v>
      </c>
      <c r="Y18" s="18">
        <f t="shared" si="0"/>
        <v>10</v>
      </c>
    </row>
    <row r="19" spans="2:25">
      <c r="B19" s="89"/>
      <c r="C19" s="35">
        <v>13</v>
      </c>
      <c r="D19" s="22" t="s">
        <v>5</v>
      </c>
      <c r="E19" s="17" t="s">
        <v>5</v>
      </c>
      <c r="F19" s="17" t="s">
        <v>5</v>
      </c>
      <c r="G19" s="17" t="s">
        <v>5</v>
      </c>
      <c r="H19" s="17" t="s">
        <v>5</v>
      </c>
      <c r="I19" s="17" t="s">
        <v>5</v>
      </c>
      <c r="J19" s="17" t="s">
        <v>5</v>
      </c>
      <c r="K19" s="17" t="s">
        <v>5</v>
      </c>
      <c r="L19" s="17" t="s">
        <v>4</v>
      </c>
      <c r="M19" s="17" t="s">
        <v>4</v>
      </c>
      <c r="N19" s="17" t="s">
        <v>4</v>
      </c>
      <c r="O19" s="17" t="s">
        <v>4</v>
      </c>
      <c r="P19" s="17" t="s">
        <v>4</v>
      </c>
      <c r="Q19" s="17" t="s">
        <v>4</v>
      </c>
      <c r="R19" s="17" t="s">
        <v>4</v>
      </c>
      <c r="S19" s="17" t="s">
        <v>4</v>
      </c>
      <c r="T19" s="17" t="s">
        <v>4</v>
      </c>
      <c r="U19" s="17" t="s">
        <v>4</v>
      </c>
      <c r="V19" s="17" t="s">
        <v>5</v>
      </c>
      <c r="W19" s="17" t="s">
        <v>5</v>
      </c>
      <c r="X19" s="23" t="s">
        <v>5</v>
      </c>
      <c r="Y19" s="18">
        <f t="shared" si="0"/>
        <v>10</v>
      </c>
    </row>
    <row r="20" spans="2:25">
      <c r="B20" s="89"/>
      <c r="C20" s="35">
        <v>14</v>
      </c>
      <c r="D20" s="22" t="s">
        <v>5</v>
      </c>
      <c r="E20" s="17" t="s">
        <v>5</v>
      </c>
      <c r="F20" s="17" t="s">
        <v>5</v>
      </c>
      <c r="G20" s="17" t="s">
        <v>5</v>
      </c>
      <c r="H20" s="17" t="s">
        <v>5</v>
      </c>
      <c r="I20" s="17" t="s">
        <v>5</v>
      </c>
      <c r="J20" s="17" t="s">
        <v>5</v>
      </c>
      <c r="K20" s="17" t="s">
        <v>5</v>
      </c>
      <c r="L20" s="17" t="s">
        <v>5</v>
      </c>
      <c r="M20" s="17" t="s">
        <v>4</v>
      </c>
      <c r="N20" s="17" t="s">
        <v>4</v>
      </c>
      <c r="O20" s="17" t="s">
        <v>4</v>
      </c>
      <c r="P20" s="17" t="s">
        <v>4</v>
      </c>
      <c r="Q20" s="17" t="s">
        <v>4</v>
      </c>
      <c r="R20" s="17" t="s">
        <v>4</v>
      </c>
      <c r="S20" s="17" t="s">
        <v>4</v>
      </c>
      <c r="T20" s="17" t="s">
        <v>4</v>
      </c>
      <c r="U20" s="17" t="s">
        <v>4</v>
      </c>
      <c r="V20" s="17" t="s">
        <v>4</v>
      </c>
      <c r="W20" s="17" t="s">
        <v>5</v>
      </c>
      <c r="X20" s="23" t="s">
        <v>5</v>
      </c>
      <c r="Y20" s="18">
        <f t="shared" si="0"/>
        <v>10</v>
      </c>
    </row>
    <row r="21" spans="2:25">
      <c r="B21" s="89"/>
      <c r="C21" s="35">
        <v>15</v>
      </c>
      <c r="D21" s="22" t="s">
        <v>5</v>
      </c>
      <c r="E21" s="17" t="s">
        <v>5</v>
      </c>
      <c r="F21" s="17" t="s">
        <v>5</v>
      </c>
      <c r="G21" s="17" t="s">
        <v>5</v>
      </c>
      <c r="H21" s="17" t="s">
        <v>5</v>
      </c>
      <c r="I21" s="17" t="s">
        <v>5</v>
      </c>
      <c r="J21" s="17" t="s">
        <v>5</v>
      </c>
      <c r="K21" s="17" t="s">
        <v>5</v>
      </c>
      <c r="L21" s="17" t="s">
        <v>5</v>
      </c>
      <c r="M21" s="17" t="s">
        <v>5</v>
      </c>
      <c r="N21" s="17" t="s">
        <v>4</v>
      </c>
      <c r="O21" s="17" t="s">
        <v>4</v>
      </c>
      <c r="P21" s="17" t="s">
        <v>4</v>
      </c>
      <c r="Q21" s="17" t="s">
        <v>4</v>
      </c>
      <c r="R21" s="17" t="s">
        <v>4</v>
      </c>
      <c r="S21" s="17" t="s">
        <v>4</v>
      </c>
      <c r="T21" s="17" t="s">
        <v>4</v>
      </c>
      <c r="U21" s="17" t="s">
        <v>4</v>
      </c>
      <c r="V21" s="17" t="s">
        <v>4</v>
      </c>
      <c r="W21" s="17" t="s">
        <v>5</v>
      </c>
      <c r="X21" s="23" t="s">
        <v>5</v>
      </c>
      <c r="Y21" s="18">
        <f t="shared" si="0"/>
        <v>9</v>
      </c>
    </row>
    <row r="22" spans="2:25">
      <c r="B22" s="89"/>
      <c r="C22" s="35">
        <v>16</v>
      </c>
      <c r="D22" s="22" t="s">
        <v>5</v>
      </c>
      <c r="E22" s="17" t="s">
        <v>5</v>
      </c>
      <c r="F22" s="17" t="s">
        <v>5</v>
      </c>
      <c r="G22" s="17" t="s">
        <v>5</v>
      </c>
      <c r="H22" s="17" t="s">
        <v>5</v>
      </c>
      <c r="I22" s="17" t="s">
        <v>5</v>
      </c>
      <c r="J22" s="17" t="s">
        <v>5</v>
      </c>
      <c r="K22" s="17" t="s">
        <v>5</v>
      </c>
      <c r="L22" s="17" t="s">
        <v>5</v>
      </c>
      <c r="M22" s="17" t="s">
        <v>5</v>
      </c>
      <c r="N22" s="17" t="s">
        <v>5</v>
      </c>
      <c r="O22" s="17" t="s">
        <v>5</v>
      </c>
      <c r="P22" s="17" t="s">
        <v>4</v>
      </c>
      <c r="Q22" s="17" t="s">
        <v>4</v>
      </c>
      <c r="R22" s="17" t="s">
        <v>4</v>
      </c>
      <c r="S22" s="17" t="s">
        <v>4</v>
      </c>
      <c r="T22" s="17" t="s">
        <v>4</v>
      </c>
      <c r="U22" s="17" t="s">
        <v>4</v>
      </c>
      <c r="V22" s="17" t="s">
        <v>4</v>
      </c>
      <c r="W22" s="17" t="s">
        <v>4</v>
      </c>
      <c r="X22" s="23" t="s">
        <v>5</v>
      </c>
      <c r="Y22" s="18">
        <f t="shared" si="0"/>
        <v>8</v>
      </c>
    </row>
    <row r="23" spans="2:25">
      <c r="B23" s="89"/>
      <c r="C23" s="35">
        <v>17</v>
      </c>
      <c r="D23" s="22" t="s">
        <v>5</v>
      </c>
      <c r="E23" s="17" t="s">
        <v>5</v>
      </c>
      <c r="F23" s="17" t="s">
        <v>5</v>
      </c>
      <c r="G23" s="17" t="s">
        <v>5</v>
      </c>
      <c r="H23" s="17" t="s">
        <v>5</v>
      </c>
      <c r="I23" s="17" t="s">
        <v>5</v>
      </c>
      <c r="J23" s="17" t="s">
        <v>5</v>
      </c>
      <c r="K23" s="17" t="s">
        <v>5</v>
      </c>
      <c r="L23" s="17" t="s">
        <v>5</v>
      </c>
      <c r="M23" s="17" t="s">
        <v>5</v>
      </c>
      <c r="N23" s="17" t="s">
        <v>5</v>
      </c>
      <c r="O23" s="17" t="s">
        <v>5</v>
      </c>
      <c r="P23" s="17" t="s">
        <v>5</v>
      </c>
      <c r="Q23" s="17" t="s">
        <v>4</v>
      </c>
      <c r="R23" s="17" t="s">
        <v>4</v>
      </c>
      <c r="S23" s="17" t="s">
        <v>4</v>
      </c>
      <c r="T23" s="17" t="s">
        <v>4</v>
      </c>
      <c r="U23" s="17" t="s">
        <v>4</v>
      </c>
      <c r="V23" s="17" t="s">
        <v>4</v>
      </c>
      <c r="W23" s="17" t="s">
        <v>4</v>
      </c>
      <c r="X23" s="23" t="s">
        <v>5</v>
      </c>
      <c r="Y23" s="18">
        <f t="shared" si="0"/>
        <v>7</v>
      </c>
    </row>
    <row r="24" spans="2:25">
      <c r="B24" s="89"/>
      <c r="C24" s="35">
        <v>18</v>
      </c>
      <c r="D24" s="22" t="s">
        <v>5</v>
      </c>
      <c r="E24" s="17" t="s">
        <v>5</v>
      </c>
      <c r="F24" s="17" t="s">
        <v>5</v>
      </c>
      <c r="G24" s="17" t="s">
        <v>5</v>
      </c>
      <c r="H24" s="17" t="s">
        <v>5</v>
      </c>
      <c r="I24" s="17" t="s">
        <v>5</v>
      </c>
      <c r="J24" s="17" t="s">
        <v>5</v>
      </c>
      <c r="K24" s="17" t="s">
        <v>5</v>
      </c>
      <c r="L24" s="17" t="s">
        <v>5</v>
      </c>
      <c r="M24" s="17" t="s">
        <v>5</v>
      </c>
      <c r="N24" s="17" t="s">
        <v>5</v>
      </c>
      <c r="O24" s="17" t="s">
        <v>5</v>
      </c>
      <c r="P24" s="17" t="s">
        <v>5</v>
      </c>
      <c r="Q24" s="17" t="s">
        <v>5</v>
      </c>
      <c r="R24" s="17" t="s">
        <v>4</v>
      </c>
      <c r="S24" s="17" t="s">
        <v>4</v>
      </c>
      <c r="T24" s="17" t="s">
        <v>4</v>
      </c>
      <c r="U24" s="17" t="s">
        <v>4</v>
      </c>
      <c r="V24" s="17" t="s">
        <v>4</v>
      </c>
      <c r="W24" s="17" t="s">
        <v>4</v>
      </c>
      <c r="X24" s="23" t="s">
        <v>4</v>
      </c>
      <c r="Y24" s="18">
        <f t="shared" si="0"/>
        <v>7</v>
      </c>
    </row>
    <row r="25" spans="2:25">
      <c r="B25" s="89"/>
      <c r="C25" s="35">
        <v>19</v>
      </c>
      <c r="D25" s="22" t="s">
        <v>5</v>
      </c>
      <c r="E25" s="17" t="s">
        <v>5</v>
      </c>
      <c r="F25" s="17" t="s">
        <v>5</v>
      </c>
      <c r="G25" s="17" t="s">
        <v>5</v>
      </c>
      <c r="H25" s="17" t="s">
        <v>5</v>
      </c>
      <c r="I25" s="17" t="s">
        <v>5</v>
      </c>
      <c r="J25" s="17" t="s">
        <v>5</v>
      </c>
      <c r="K25" s="17" t="s">
        <v>5</v>
      </c>
      <c r="L25" s="17" t="s">
        <v>5</v>
      </c>
      <c r="M25" s="17" t="s">
        <v>5</v>
      </c>
      <c r="N25" s="17" t="s">
        <v>5</v>
      </c>
      <c r="O25" s="17" t="s">
        <v>5</v>
      </c>
      <c r="P25" s="17" t="s">
        <v>5</v>
      </c>
      <c r="Q25" s="17" t="s">
        <v>5</v>
      </c>
      <c r="R25" s="17" t="s">
        <v>5</v>
      </c>
      <c r="S25" s="17" t="s">
        <v>5</v>
      </c>
      <c r="T25" s="17" t="s">
        <v>4</v>
      </c>
      <c r="U25" s="17" t="s">
        <v>4</v>
      </c>
      <c r="V25" s="17" t="s">
        <v>4</v>
      </c>
      <c r="W25" s="17" t="s">
        <v>4</v>
      </c>
      <c r="X25" s="23" t="s">
        <v>4</v>
      </c>
      <c r="Y25" s="18">
        <f t="shared" si="0"/>
        <v>5</v>
      </c>
    </row>
    <row r="26" spans="2:25" ht="15" thickBot="1">
      <c r="B26" s="90"/>
      <c r="C26" s="37">
        <v>20</v>
      </c>
      <c r="D26" s="24" t="s">
        <v>5</v>
      </c>
      <c r="E26" s="25" t="s">
        <v>5</v>
      </c>
      <c r="F26" s="25" t="s">
        <v>5</v>
      </c>
      <c r="G26" s="25" t="s">
        <v>5</v>
      </c>
      <c r="H26" s="25" t="s">
        <v>5</v>
      </c>
      <c r="I26" s="25" t="s">
        <v>5</v>
      </c>
      <c r="J26" s="25" t="s">
        <v>5</v>
      </c>
      <c r="K26" s="25" t="s">
        <v>5</v>
      </c>
      <c r="L26" s="25" t="s">
        <v>5</v>
      </c>
      <c r="M26" s="25" t="s">
        <v>5</v>
      </c>
      <c r="N26" s="25" t="s">
        <v>5</v>
      </c>
      <c r="O26" s="25" t="s">
        <v>5</v>
      </c>
      <c r="P26" s="25" t="s">
        <v>5</v>
      </c>
      <c r="Q26" s="25" t="s">
        <v>5</v>
      </c>
      <c r="R26" s="25" t="s">
        <v>5</v>
      </c>
      <c r="S26" s="25" t="s">
        <v>5</v>
      </c>
      <c r="T26" s="25" t="s">
        <v>5</v>
      </c>
      <c r="U26" s="25" t="s">
        <v>5</v>
      </c>
      <c r="V26" s="25" t="s">
        <v>4</v>
      </c>
      <c r="W26" s="25" t="s">
        <v>4</v>
      </c>
      <c r="X26" s="26" t="s">
        <v>4</v>
      </c>
      <c r="Y26" s="18">
        <f t="shared" si="0"/>
        <v>3</v>
      </c>
    </row>
    <row r="27" spans="2:25">
      <c r="B27" s="82" t="s">
        <v>6</v>
      </c>
      <c r="C27" s="82"/>
      <c r="D27" s="18">
        <f>COUNTIF(D6:D26,"PASS")</f>
        <v>3</v>
      </c>
      <c r="E27" s="18">
        <f t="shared" ref="E27:X27" si="1">COUNTIF(E6:E26,"PASS")</f>
        <v>5</v>
      </c>
      <c r="F27" s="18">
        <f t="shared" si="1"/>
        <v>7</v>
      </c>
      <c r="G27" s="18">
        <f t="shared" si="1"/>
        <v>7</v>
      </c>
      <c r="H27" s="18">
        <f t="shared" si="1"/>
        <v>8</v>
      </c>
      <c r="I27" s="18">
        <f t="shared" si="1"/>
        <v>9</v>
      </c>
      <c r="J27" s="18">
        <f t="shared" si="1"/>
        <v>10</v>
      </c>
      <c r="K27" s="18">
        <f t="shared" si="1"/>
        <v>10</v>
      </c>
      <c r="L27" s="18">
        <f t="shared" si="1"/>
        <v>10</v>
      </c>
      <c r="M27" s="18">
        <f t="shared" si="1"/>
        <v>10</v>
      </c>
      <c r="N27" s="18">
        <f t="shared" si="1"/>
        <v>11</v>
      </c>
      <c r="O27" s="18">
        <f t="shared" si="1"/>
        <v>10</v>
      </c>
      <c r="P27" s="18">
        <f t="shared" si="1"/>
        <v>10</v>
      </c>
      <c r="Q27" s="18">
        <f t="shared" si="1"/>
        <v>10</v>
      </c>
      <c r="R27" s="18">
        <f t="shared" si="1"/>
        <v>10</v>
      </c>
      <c r="S27" s="18">
        <f t="shared" si="1"/>
        <v>9</v>
      </c>
      <c r="T27" s="18">
        <f t="shared" si="1"/>
        <v>8</v>
      </c>
      <c r="U27" s="18">
        <f t="shared" si="1"/>
        <v>7</v>
      </c>
      <c r="V27" s="18">
        <f t="shared" si="1"/>
        <v>7</v>
      </c>
      <c r="W27" s="18">
        <f t="shared" si="1"/>
        <v>5</v>
      </c>
      <c r="X27" s="18">
        <f t="shared" si="1"/>
        <v>3</v>
      </c>
    </row>
    <row r="29" spans="2:25" ht="18.600000000000001">
      <c r="B29" s="28" t="s">
        <v>7</v>
      </c>
    </row>
    <row r="30" spans="2:25" ht="15" thickBot="1"/>
    <row r="31" spans="2:25" ht="15.75" customHeight="1">
      <c r="B31" s="94" t="s">
        <v>8</v>
      </c>
      <c r="C31" s="95"/>
      <c r="D31" s="10"/>
      <c r="E31" s="94" t="s">
        <v>9</v>
      </c>
      <c r="F31" s="95"/>
      <c r="G31" s="2"/>
      <c r="H31" s="91" t="s">
        <v>10</v>
      </c>
      <c r="I31" s="92"/>
      <c r="J31" s="93"/>
      <c r="K31" s="91" t="s">
        <v>11</v>
      </c>
      <c r="L31" s="92"/>
      <c r="M31" s="93"/>
      <c r="N31" s="91" t="s">
        <v>12</v>
      </c>
      <c r="O31" s="92"/>
      <c r="P31" s="93"/>
      <c r="Q31" s="96" t="s">
        <v>13</v>
      </c>
    </row>
    <row r="32" spans="2:25" ht="15" thickBot="1">
      <c r="B32" s="38" t="s">
        <v>14</v>
      </c>
      <c r="C32" s="39" t="s">
        <v>15</v>
      </c>
      <c r="E32" s="38" t="s">
        <v>14</v>
      </c>
      <c r="F32" s="39" t="s">
        <v>15</v>
      </c>
      <c r="H32" s="38" t="s">
        <v>16</v>
      </c>
      <c r="I32" s="40" t="s">
        <v>17</v>
      </c>
      <c r="J32" s="39" t="s">
        <v>18</v>
      </c>
      <c r="K32" s="30" t="s">
        <v>16</v>
      </c>
      <c r="L32" s="27" t="s">
        <v>18</v>
      </c>
      <c r="M32" s="31" t="s">
        <v>17</v>
      </c>
      <c r="N32" s="30" t="s">
        <v>19</v>
      </c>
      <c r="O32" s="27" t="s">
        <v>17</v>
      </c>
      <c r="P32" s="31" t="s">
        <v>18</v>
      </c>
      <c r="Q32" s="97"/>
    </row>
    <row r="33" spans="2:17">
      <c r="B33" s="3">
        <v>0</v>
      </c>
      <c r="C33" s="11">
        <f>20-B33</f>
        <v>20</v>
      </c>
      <c r="D33" s="1"/>
      <c r="E33" s="3">
        <v>0</v>
      </c>
      <c r="F33" s="11">
        <f>20-E33</f>
        <v>20</v>
      </c>
      <c r="G33" s="2"/>
      <c r="H33" s="5">
        <f>B33/SUM(B33:C33)</f>
        <v>0</v>
      </c>
      <c r="I33" s="41">
        <f>((B33+1.3613)-(1.65*SQRT(B33-(B33^2/SUM(B33:C33))+0.6806)))/(SUM(B33:C33)+2.7225)</f>
        <v>3.3007032488877747E-6</v>
      </c>
      <c r="J33" s="4">
        <f>((B33+1.3613)+(1.65*SQRT(B33-(B33^2/SUM(B33:C33))+0.6806)))/(SUM(B33:C33)+2.7225)</f>
        <v>0.1198162614047938</v>
      </c>
      <c r="K33" s="5">
        <f>E33/SUM(E33:F33)</f>
        <v>0</v>
      </c>
      <c r="L33" s="41">
        <f>((E33+1.3613)-(1.65*SQRT(E33-(E33^2/SUM(E33:F33))+0.6806)))/(SUM(E33:F33)+2.7225)</f>
        <v>3.3007032488877747E-6</v>
      </c>
      <c r="M33" s="4">
        <f>((E33+1.3613)+(1.65*SQRT(E33-(E33^2/SUM(E33:F33))+0.6806)))/(SUM(E33:F33)+2.7225)</f>
        <v>0.1198162614047938</v>
      </c>
      <c r="N33" s="5">
        <f>H33-K33</f>
        <v>0</v>
      </c>
      <c r="O33" s="41">
        <f>N33-SQRT((H33-I33)^2+(K33-M33)^2)</f>
        <v>-0.11981626145025775</v>
      </c>
      <c r="P33" s="4">
        <f>N33+SQRT((H33-J33)^2+(K33-L33)^2)</f>
        <v>0.11981626145025775</v>
      </c>
      <c r="Q33" s="4" t="str">
        <f>IF(O33*P33&lt;0,"PASS","FAIL")</f>
        <v>PASS</v>
      </c>
    </row>
    <row r="34" spans="2:17">
      <c r="B34" s="12">
        <v>1</v>
      </c>
      <c r="C34" s="13">
        <f t="shared" ref="C34:C53" si="2">20-B34</f>
        <v>19</v>
      </c>
      <c r="D34" s="1"/>
      <c r="E34" s="12">
        <v>0</v>
      </c>
      <c r="F34" s="13">
        <f t="shared" ref="F34:F53" si="3">20-E34</f>
        <v>20</v>
      </c>
      <c r="G34" s="2"/>
      <c r="H34" s="6">
        <f t="shared" ref="H34:H52" si="4">B34/SUM(B34:C34)</f>
        <v>0.05</v>
      </c>
      <c r="I34" s="32">
        <f t="shared" ref="I34:I52" si="5">((B34+1.3613)-(1.65*SQRT(B34-(B34^2/SUM(B34:C34))+0.6806)))/(SUM(B34:C34)+2.7225)</f>
        <v>1.1193017560007713E-2</v>
      </c>
      <c r="J34" s="7">
        <f t="shared" ref="J34:J52" si="6">((B34+1.3613)+(1.65*SQRT(B34-(B34^2/SUM(B34:C34))+0.6806)))/(SUM(B34:C34)+2.7225)</f>
        <v>0.19664502842965012</v>
      </c>
      <c r="K34" s="6">
        <f t="shared" ref="K34:K52" si="7">E34/SUM(E34:F34)</f>
        <v>0</v>
      </c>
      <c r="L34" s="32">
        <f t="shared" ref="L34:L52" si="8">((E34+1.3613)-(1.65*SQRT(E34-(E34^2/SUM(E34:F34))+0.6806)))/(SUM(E34:F34)+2.7225)</f>
        <v>3.3007032488877747E-6</v>
      </c>
      <c r="M34" s="7">
        <f t="shared" ref="M34:M52" si="9">((E34+1.3613)+(1.65*SQRT(E34-(E34^2/SUM(E34:F34))+0.6806)))/(SUM(E34:F34)+2.7225)</f>
        <v>0.1198162614047938</v>
      </c>
      <c r="N34" s="6">
        <f t="shared" ref="N34:N52" si="10">H34-K34</f>
        <v>0.05</v>
      </c>
      <c r="O34" s="32">
        <f t="shared" ref="O34:O52" si="11">N34-SQRT((H34-I34)^2+(K34-M34)^2)</f>
        <v>-7.5944108171520877E-2</v>
      </c>
      <c r="P34" s="7">
        <f t="shared" ref="P34:P52" si="12">N34+SQRT((H34-J34)^2+(K34-L34)^2)</f>
        <v>0.19664502846679643</v>
      </c>
      <c r="Q34" s="7" t="str">
        <f t="shared" ref="Q34:Q52" si="13">IF(O34*P34&lt;0,"PASS","FAIL")</f>
        <v>PASS</v>
      </c>
    </row>
    <row r="35" spans="2:17">
      <c r="B35" s="12">
        <v>2</v>
      </c>
      <c r="C35" s="13">
        <f t="shared" si="2"/>
        <v>18</v>
      </c>
      <c r="D35" s="1"/>
      <c r="E35" s="12">
        <v>0</v>
      </c>
      <c r="F35" s="13">
        <f t="shared" si="3"/>
        <v>20</v>
      </c>
      <c r="G35" s="2"/>
      <c r="H35" s="6">
        <f t="shared" si="4"/>
        <v>0.1</v>
      </c>
      <c r="I35" s="32">
        <f t="shared" si="5"/>
        <v>3.3559823754916465E-2</v>
      </c>
      <c r="J35" s="7">
        <f t="shared" si="6"/>
        <v>0.26229670611635653</v>
      </c>
      <c r="K35" s="6">
        <f t="shared" si="7"/>
        <v>0</v>
      </c>
      <c r="L35" s="32">
        <f t="shared" si="8"/>
        <v>3.3007032488877747E-6</v>
      </c>
      <c r="M35" s="7">
        <f t="shared" si="9"/>
        <v>0.1198162614047938</v>
      </c>
      <c r="N35" s="6">
        <f t="shared" si="10"/>
        <v>0.1</v>
      </c>
      <c r="O35" s="32">
        <f t="shared" si="11"/>
        <v>-3.7004501811070595E-2</v>
      </c>
      <c r="P35" s="7">
        <f t="shared" si="12"/>
        <v>0.26229670614992051</v>
      </c>
      <c r="Q35" s="7" t="str">
        <f t="shared" si="13"/>
        <v>PASS</v>
      </c>
    </row>
    <row r="36" spans="2:17">
      <c r="B36" s="12">
        <v>3</v>
      </c>
      <c r="C36" s="13">
        <f t="shared" si="2"/>
        <v>17</v>
      </c>
      <c r="D36" s="1"/>
      <c r="E36" s="12">
        <v>0</v>
      </c>
      <c r="F36" s="13">
        <f t="shared" si="3"/>
        <v>20</v>
      </c>
      <c r="G36" s="2"/>
      <c r="H36" s="6">
        <f t="shared" si="4"/>
        <v>0.15</v>
      </c>
      <c r="I36" s="32">
        <f t="shared" si="5"/>
        <v>6.1419802519351356E-2</v>
      </c>
      <c r="J36" s="7">
        <f t="shared" si="6"/>
        <v>0.32245521123353676</v>
      </c>
      <c r="K36" s="6">
        <f t="shared" si="7"/>
        <v>0</v>
      </c>
      <c r="L36" s="32">
        <f t="shared" si="8"/>
        <v>3.3007032488877747E-6</v>
      </c>
      <c r="M36" s="7">
        <f t="shared" si="9"/>
        <v>0.1198162614047938</v>
      </c>
      <c r="N36" s="6">
        <f t="shared" si="10"/>
        <v>0.15</v>
      </c>
      <c r="O36" s="32">
        <f t="shared" si="11"/>
        <v>9.9534274817919544E-4</v>
      </c>
      <c r="P36" s="7">
        <f t="shared" si="12"/>
        <v>0.32245521126512366</v>
      </c>
      <c r="Q36" s="7" t="str">
        <f t="shared" si="13"/>
        <v>FAIL</v>
      </c>
    </row>
    <row r="37" spans="2:17">
      <c r="B37" s="12">
        <v>4</v>
      </c>
      <c r="C37" s="13">
        <f t="shared" si="2"/>
        <v>16</v>
      </c>
      <c r="D37" s="1"/>
      <c r="E37" s="12">
        <v>0</v>
      </c>
      <c r="F37" s="13">
        <f t="shared" si="3"/>
        <v>20</v>
      </c>
      <c r="G37" s="2"/>
      <c r="H37" s="6">
        <f t="shared" si="4"/>
        <v>0.2</v>
      </c>
      <c r="I37" s="32">
        <f t="shared" si="5"/>
        <v>9.2900237075401015E-2</v>
      </c>
      <c r="J37" s="7">
        <f t="shared" si="6"/>
        <v>0.37899326055910226</v>
      </c>
      <c r="K37" s="6">
        <f t="shared" si="7"/>
        <v>0</v>
      </c>
      <c r="L37" s="32">
        <f t="shared" si="8"/>
        <v>3.3007032488877747E-6</v>
      </c>
      <c r="M37" s="7">
        <f t="shared" si="9"/>
        <v>0.1198162614047938</v>
      </c>
      <c r="N37" s="6">
        <f t="shared" si="10"/>
        <v>0.2</v>
      </c>
      <c r="O37" s="32">
        <f t="shared" si="11"/>
        <v>3.9294381817164881E-2</v>
      </c>
      <c r="P37" s="7">
        <f t="shared" si="12"/>
        <v>0.37899326058953536</v>
      </c>
      <c r="Q37" s="7" t="str">
        <f t="shared" si="13"/>
        <v>FAIL</v>
      </c>
    </row>
    <row r="38" spans="2:17">
      <c r="B38" s="12">
        <v>5</v>
      </c>
      <c r="C38" s="13">
        <f t="shared" si="2"/>
        <v>15</v>
      </c>
      <c r="D38" s="1"/>
      <c r="E38" s="12">
        <v>0</v>
      </c>
      <c r="F38" s="13">
        <f t="shared" si="3"/>
        <v>20</v>
      </c>
      <c r="G38" s="2"/>
      <c r="H38" s="6">
        <f t="shared" si="4"/>
        <v>0.25</v>
      </c>
      <c r="I38" s="32">
        <f t="shared" si="5"/>
        <v>0.12710822188096477</v>
      </c>
      <c r="J38" s="7">
        <f t="shared" si="6"/>
        <v>0.43280375963515361</v>
      </c>
      <c r="K38" s="6">
        <f t="shared" si="7"/>
        <v>0</v>
      </c>
      <c r="L38" s="32">
        <f t="shared" si="8"/>
        <v>3.3007032488877747E-6</v>
      </c>
      <c r="M38" s="7">
        <f t="shared" si="9"/>
        <v>0.1198162614047938</v>
      </c>
      <c r="N38" s="6">
        <f t="shared" si="10"/>
        <v>0.25</v>
      </c>
      <c r="O38" s="32">
        <f t="shared" si="11"/>
        <v>7.8365721295890117E-2</v>
      </c>
      <c r="P38" s="7">
        <f t="shared" si="12"/>
        <v>0.43280375966495233</v>
      </c>
      <c r="Q38" s="7" t="str">
        <f t="shared" si="13"/>
        <v>FAIL</v>
      </c>
    </row>
    <row r="39" spans="2:17">
      <c r="B39" s="12">
        <v>6</v>
      </c>
      <c r="C39" s="13">
        <f t="shared" si="2"/>
        <v>14</v>
      </c>
      <c r="D39" s="1"/>
      <c r="E39" s="12">
        <v>0</v>
      </c>
      <c r="F39" s="13">
        <f t="shared" si="3"/>
        <v>20</v>
      </c>
      <c r="G39" s="2"/>
      <c r="H39" s="6">
        <f t="shared" si="4"/>
        <v>0.3</v>
      </c>
      <c r="I39" s="32">
        <f t="shared" si="5"/>
        <v>0.16354304302976813</v>
      </c>
      <c r="J39" s="7">
        <f t="shared" si="6"/>
        <v>0.48438742236796539</v>
      </c>
      <c r="K39" s="6">
        <f t="shared" si="7"/>
        <v>0</v>
      </c>
      <c r="L39" s="32">
        <f t="shared" si="8"/>
        <v>3.3007032488877747E-6</v>
      </c>
      <c r="M39" s="7">
        <f t="shared" si="9"/>
        <v>0.1198162614047938</v>
      </c>
      <c r="N39" s="6">
        <f t="shared" si="10"/>
        <v>0.3</v>
      </c>
      <c r="O39" s="32">
        <f t="shared" si="11"/>
        <v>0.1184058436992049</v>
      </c>
      <c r="P39" s="7">
        <f t="shared" si="12"/>
        <v>0.4843874223975082</v>
      </c>
      <c r="Q39" s="7" t="str">
        <f t="shared" si="13"/>
        <v>FAIL</v>
      </c>
    </row>
    <row r="40" spans="2:17">
      <c r="B40" s="12">
        <v>7</v>
      </c>
      <c r="C40" s="13">
        <f t="shared" si="2"/>
        <v>13</v>
      </c>
      <c r="D40" s="1"/>
      <c r="E40" s="12">
        <v>0</v>
      </c>
      <c r="F40" s="13">
        <f t="shared" si="3"/>
        <v>20</v>
      </c>
      <c r="G40" s="2"/>
      <c r="H40" s="6">
        <f t="shared" si="4"/>
        <v>0.35</v>
      </c>
      <c r="I40" s="32">
        <f t="shared" si="5"/>
        <v>0.20189973247796225</v>
      </c>
      <c r="J40" s="7">
        <f t="shared" si="6"/>
        <v>0.53404921680138639</v>
      </c>
      <c r="K40" s="6">
        <f t="shared" si="7"/>
        <v>0</v>
      </c>
      <c r="L40" s="32">
        <f t="shared" si="8"/>
        <v>3.3007032488877747E-6</v>
      </c>
      <c r="M40" s="7">
        <f t="shared" si="9"/>
        <v>0.1198162614047938</v>
      </c>
      <c r="N40" s="6">
        <f t="shared" si="10"/>
        <v>0.35</v>
      </c>
      <c r="O40" s="32">
        <f t="shared" si="11"/>
        <v>0.15950163849229299</v>
      </c>
      <c r="P40" s="7">
        <f t="shared" si="12"/>
        <v>0.5340492168309835</v>
      </c>
      <c r="Q40" s="7" t="str">
        <f t="shared" si="13"/>
        <v>FAIL</v>
      </c>
    </row>
    <row r="41" spans="2:17">
      <c r="B41" s="12">
        <v>8</v>
      </c>
      <c r="C41" s="13">
        <f t="shared" si="2"/>
        <v>12</v>
      </c>
      <c r="D41" s="1"/>
      <c r="E41" s="12">
        <v>0</v>
      </c>
      <c r="F41" s="13">
        <f t="shared" si="3"/>
        <v>20</v>
      </c>
      <c r="G41" s="2"/>
      <c r="H41" s="6">
        <f t="shared" si="4"/>
        <v>0.4</v>
      </c>
      <c r="I41" s="32">
        <f t="shared" si="5"/>
        <v>0.24198647075497337</v>
      </c>
      <c r="J41" s="7">
        <f t="shared" si="6"/>
        <v>0.5819809624059904</v>
      </c>
      <c r="K41" s="6">
        <f t="shared" si="7"/>
        <v>0</v>
      </c>
      <c r="L41" s="32">
        <f t="shared" si="8"/>
        <v>3.3007032488877747E-6</v>
      </c>
      <c r="M41" s="7">
        <f t="shared" si="9"/>
        <v>0.1198162614047938</v>
      </c>
      <c r="N41" s="6">
        <f t="shared" si="10"/>
        <v>0.4</v>
      </c>
      <c r="O41" s="32">
        <f t="shared" si="11"/>
        <v>0.20169666689263449</v>
      </c>
      <c r="P41" s="7">
        <f t="shared" si="12"/>
        <v>0.58198096243592379</v>
      </c>
      <c r="Q41" s="7" t="str">
        <f t="shared" si="13"/>
        <v>FAIL</v>
      </c>
    </row>
    <row r="42" spans="2:17">
      <c r="B42" s="12">
        <v>9</v>
      </c>
      <c r="C42" s="13">
        <f t="shared" si="2"/>
        <v>11</v>
      </c>
      <c r="D42" s="1"/>
      <c r="E42" s="12">
        <v>0</v>
      </c>
      <c r="F42" s="13">
        <f t="shared" si="3"/>
        <v>20</v>
      </c>
      <c r="G42" s="2"/>
      <c r="H42" s="6">
        <f t="shared" si="4"/>
        <v>0.45</v>
      </c>
      <c r="I42" s="32">
        <f t="shared" si="5"/>
        <v>0.28368506621578338</v>
      </c>
      <c r="J42" s="7">
        <f t="shared" si="6"/>
        <v>0.62830085082679554</v>
      </c>
      <c r="K42" s="6">
        <f t="shared" si="7"/>
        <v>0</v>
      </c>
      <c r="L42" s="32">
        <f t="shared" si="8"/>
        <v>3.3007032488877747E-6</v>
      </c>
      <c r="M42" s="7">
        <f t="shared" si="9"/>
        <v>0.1198162614047938</v>
      </c>
      <c r="N42" s="6">
        <f t="shared" si="10"/>
        <v>0.45</v>
      </c>
      <c r="O42" s="32">
        <f t="shared" si="11"/>
        <v>0.24502050420427354</v>
      </c>
      <c r="P42" s="7">
        <f t="shared" si="12"/>
        <v>0.62830085085734688</v>
      </c>
      <c r="Q42" s="7" t="str">
        <f t="shared" si="13"/>
        <v>FAIL</v>
      </c>
    </row>
    <row r="43" spans="2:17">
      <c r="B43" s="12">
        <v>10</v>
      </c>
      <c r="C43" s="13">
        <f t="shared" si="2"/>
        <v>10</v>
      </c>
      <c r="D43" s="1"/>
      <c r="E43" s="12">
        <v>0</v>
      </c>
      <c r="F43" s="13">
        <f t="shared" si="3"/>
        <v>20</v>
      </c>
      <c r="G43" s="2"/>
      <c r="H43" s="6">
        <f t="shared" si="4"/>
        <v>0.5</v>
      </c>
      <c r="I43" s="32">
        <f t="shared" si="5"/>
        <v>0.32693094787634341</v>
      </c>
      <c r="J43" s="7">
        <f t="shared" si="6"/>
        <v>0.6730734530478506</v>
      </c>
      <c r="K43" s="6">
        <f t="shared" si="7"/>
        <v>0</v>
      </c>
      <c r="L43" s="32">
        <f t="shared" si="8"/>
        <v>3.3007032488877747E-6</v>
      </c>
      <c r="M43" s="7">
        <f t="shared" si="9"/>
        <v>0.1198162614047938</v>
      </c>
      <c r="N43" s="6">
        <f t="shared" si="10"/>
        <v>0.5</v>
      </c>
      <c r="O43" s="32">
        <f t="shared" si="11"/>
        <v>0.28950336511002639</v>
      </c>
      <c r="P43" s="7">
        <f t="shared" si="12"/>
        <v>0.67307345307932465</v>
      </c>
      <c r="Q43" s="7" t="str">
        <f t="shared" si="13"/>
        <v>FAIL</v>
      </c>
    </row>
    <row r="44" spans="2:17">
      <c r="B44" s="12">
        <v>11</v>
      </c>
      <c r="C44" s="13">
        <f t="shared" si="2"/>
        <v>9</v>
      </c>
      <c r="D44" s="1"/>
      <c r="E44" s="12">
        <v>0</v>
      </c>
      <c r="F44" s="13">
        <f t="shared" si="3"/>
        <v>20</v>
      </c>
      <c r="G44" s="2"/>
      <c r="H44" s="6">
        <f t="shared" si="4"/>
        <v>0.55000000000000004</v>
      </c>
      <c r="I44" s="32">
        <f t="shared" si="5"/>
        <v>0.37170355009739847</v>
      </c>
      <c r="J44" s="7">
        <f t="shared" si="6"/>
        <v>0.71631933470841069</v>
      </c>
      <c r="K44" s="6">
        <f t="shared" si="7"/>
        <v>0</v>
      </c>
      <c r="L44" s="32">
        <f t="shared" si="8"/>
        <v>3.3007032488877747E-6</v>
      </c>
      <c r="M44" s="7">
        <f t="shared" si="9"/>
        <v>0.1198162614047938</v>
      </c>
      <c r="N44" s="6">
        <f t="shared" si="10"/>
        <v>0.55000000000000004</v>
      </c>
      <c r="O44" s="32">
        <f t="shared" si="11"/>
        <v>0.33518482235909686</v>
      </c>
      <c r="P44" s="7">
        <f t="shared" si="12"/>
        <v>0.71631933474116294</v>
      </c>
      <c r="Q44" s="7" t="str">
        <f t="shared" si="13"/>
        <v>FAIL</v>
      </c>
    </row>
    <row r="45" spans="2:17">
      <c r="B45" s="12">
        <v>12</v>
      </c>
      <c r="C45" s="13">
        <f t="shared" si="2"/>
        <v>8</v>
      </c>
      <c r="D45" s="1"/>
      <c r="E45" s="12">
        <v>0</v>
      </c>
      <c r="F45" s="13">
        <f t="shared" si="3"/>
        <v>20</v>
      </c>
      <c r="G45" s="2"/>
      <c r="H45" s="6">
        <f t="shared" si="4"/>
        <v>0.6</v>
      </c>
      <c r="I45" s="32">
        <f t="shared" si="5"/>
        <v>0.41802343851820367</v>
      </c>
      <c r="J45" s="7">
        <f t="shared" si="6"/>
        <v>0.75801793016922059</v>
      </c>
      <c r="K45" s="6">
        <f t="shared" si="7"/>
        <v>0</v>
      </c>
      <c r="L45" s="32">
        <f t="shared" si="8"/>
        <v>3.3007032488877747E-6</v>
      </c>
      <c r="M45" s="7">
        <f t="shared" si="9"/>
        <v>0.1198162614047938</v>
      </c>
      <c r="N45" s="6">
        <f t="shared" si="10"/>
        <v>0.6</v>
      </c>
      <c r="O45" s="32">
        <f t="shared" si="11"/>
        <v>0.38212066315100029</v>
      </c>
      <c r="P45" s="7">
        <f t="shared" si="12"/>
        <v>0.75801793020369335</v>
      </c>
      <c r="Q45" s="7" t="str">
        <f t="shared" si="13"/>
        <v>FAIL</v>
      </c>
    </row>
    <row r="46" spans="2:17">
      <c r="B46" s="12">
        <v>13</v>
      </c>
      <c r="C46" s="13">
        <f t="shared" si="2"/>
        <v>7</v>
      </c>
      <c r="D46" s="1"/>
      <c r="E46" s="12">
        <v>0</v>
      </c>
      <c r="F46" s="13">
        <f t="shared" si="3"/>
        <v>20</v>
      </c>
      <c r="G46" s="2"/>
      <c r="H46" s="6">
        <f t="shared" si="4"/>
        <v>0.65</v>
      </c>
      <c r="I46" s="32">
        <f t="shared" si="5"/>
        <v>0.46595518412280768</v>
      </c>
      <c r="J46" s="7">
        <f t="shared" si="6"/>
        <v>0.79810466844623185</v>
      </c>
      <c r="K46" s="6">
        <f t="shared" si="7"/>
        <v>0</v>
      </c>
      <c r="L46" s="32">
        <f t="shared" si="8"/>
        <v>3.3007032488877747E-6</v>
      </c>
      <c r="M46" s="7">
        <f t="shared" si="9"/>
        <v>0.1198162614047938</v>
      </c>
      <c r="N46" s="6">
        <f t="shared" si="10"/>
        <v>0.65</v>
      </c>
      <c r="O46" s="32">
        <f t="shared" si="11"/>
        <v>0.43039027628929655</v>
      </c>
      <c r="P46" s="7">
        <f t="shared" si="12"/>
        <v>0.79810466848301209</v>
      </c>
      <c r="Q46" s="7" t="str">
        <f t="shared" si="13"/>
        <v>FAIL</v>
      </c>
    </row>
    <row r="47" spans="2:17">
      <c r="B47" s="12">
        <v>14</v>
      </c>
      <c r="C47" s="13">
        <f t="shared" si="2"/>
        <v>6</v>
      </c>
      <c r="D47" s="1"/>
      <c r="E47" s="12">
        <v>0</v>
      </c>
      <c r="F47" s="13">
        <f t="shared" si="3"/>
        <v>20</v>
      </c>
      <c r="G47" s="2"/>
      <c r="H47" s="6">
        <f t="shared" si="4"/>
        <v>0.7</v>
      </c>
      <c r="I47" s="32">
        <f t="shared" si="5"/>
        <v>0.51561697855622868</v>
      </c>
      <c r="J47" s="7">
        <f t="shared" si="6"/>
        <v>0.83646135789442599</v>
      </c>
      <c r="K47" s="6">
        <f t="shared" si="7"/>
        <v>0</v>
      </c>
      <c r="L47" s="32">
        <f t="shared" si="8"/>
        <v>3.3007032488877747E-6</v>
      </c>
      <c r="M47" s="7">
        <f t="shared" si="9"/>
        <v>0.1198162614047938</v>
      </c>
      <c r="N47" s="6">
        <f t="shared" si="10"/>
        <v>0.7</v>
      </c>
      <c r="O47" s="32">
        <f t="shared" si="11"/>
        <v>0.4801067643292406</v>
      </c>
      <c r="P47" s="7">
        <f t="shared" si="12"/>
        <v>0.8364613579343444</v>
      </c>
      <c r="Q47" s="7" t="str">
        <f t="shared" si="13"/>
        <v>FAIL</v>
      </c>
    </row>
    <row r="48" spans="2:17">
      <c r="B48" s="12">
        <v>15</v>
      </c>
      <c r="C48" s="13">
        <f t="shared" si="2"/>
        <v>5</v>
      </c>
      <c r="D48" s="1"/>
      <c r="E48" s="12">
        <v>0</v>
      </c>
      <c r="F48" s="13">
        <f t="shared" si="3"/>
        <v>20</v>
      </c>
      <c r="G48" s="2"/>
      <c r="H48" s="6">
        <f t="shared" si="4"/>
        <v>0.75</v>
      </c>
      <c r="I48" s="32">
        <f t="shared" si="5"/>
        <v>0.56720064128904046</v>
      </c>
      <c r="J48" s="7">
        <f t="shared" si="6"/>
        <v>0.87289617904322925</v>
      </c>
      <c r="K48" s="6">
        <f t="shared" si="7"/>
        <v>0</v>
      </c>
      <c r="L48" s="32">
        <f t="shared" si="8"/>
        <v>3.3007032488877747E-6</v>
      </c>
      <c r="M48" s="7">
        <f t="shared" si="9"/>
        <v>0.1198162614047938</v>
      </c>
      <c r="N48" s="6">
        <f t="shared" si="10"/>
        <v>0.75</v>
      </c>
      <c r="O48" s="32">
        <f t="shared" si="11"/>
        <v>0.53143298043355225</v>
      </c>
      <c r="P48" s="7">
        <f t="shared" si="12"/>
        <v>0.87289617908755379</v>
      </c>
      <c r="Q48" s="7" t="str">
        <f t="shared" si="13"/>
        <v>FAIL</v>
      </c>
    </row>
    <row r="49" spans="2:17">
      <c r="B49" s="12">
        <v>16</v>
      </c>
      <c r="C49" s="13">
        <f t="shared" si="2"/>
        <v>4</v>
      </c>
      <c r="D49" s="1"/>
      <c r="E49" s="12">
        <v>0</v>
      </c>
      <c r="F49" s="13">
        <f t="shared" si="3"/>
        <v>20</v>
      </c>
      <c r="G49" s="2"/>
      <c r="H49" s="6">
        <f t="shared" si="4"/>
        <v>0.8</v>
      </c>
      <c r="I49" s="32">
        <f t="shared" si="5"/>
        <v>0.62101114036509186</v>
      </c>
      <c r="J49" s="7">
        <f t="shared" si="6"/>
        <v>0.907104163848793</v>
      </c>
      <c r="K49" s="6">
        <f t="shared" si="7"/>
        <v>0</v>
      </c>
      <c r="L49" s="32">
        <f t="shared" si="8"/>
        <v>3.3007032488877747E-6</v>
      </c>
      <c r="M49" s="7">
        <f t="shared" si="9"/>
        <v>0.1198162614047938</v>
      </c>
      <c r="N49" s="6">
        <f t="shared" si="10"/>
        <v>0.8</v>
      </c>
      <c r="O49" s="32">
        <f t="shared" si="11"/>
        <v>0.58460977652078372</v>
      </c>
      <c r="P49" s="7">
        <f t="shared" si="12"/>
        <v>0.90710416389965298</v>
      </c>
      <c r="Q49" s="7" t="str">
        <f t="shared" si="13"/>
        <v>FAIL</v>
      </c>
    </row>
    <row r="50" spans="2:17">
      <c r="B50" s="12">
        <v>17</v>
      </c>
      <c r="C50" s="13">
        <f t="shared" si="2"/>
        <v>3</v>
      </c>
      <c r="D50" s="1"/>
      <c r="E50" s="12">
        <v>0</v>
      </c>
      <c r="F50" s="13">
        <f t="shared" si="3"/>
        <v>20</v>
      </c>
      <c r="G50" s="2"/>
      <c r="H50" s="6">
        <f t="shared" si="4"/>
        <v>0.85</v>
      </c>
      <c r="I50" s="32">
        <f t="shared" si="5"/>
        <v>0.67754918969065736</v>
      </c>
      <c r="J50" s="7">
        <f t="shared" si="6"/>
        <v>0.93858459840484276</v>
      </c>
      <c r="K50" s="6">
        <f t="shared" si="7"/>
        <v>0</v>
      </c>
      <c r="L50" s="32">
        <f t="shared" si="8"/>
        <v>3.3007032488877747E-6</v>
      </c>
      <c r="M50" s="7">
        <f t="shared" si="9"/>
        <v>0.1198162614047938</v>
      </c>
      <c r="N50" s="6">
        <f t="shared" si="10"/>
        <v>0.85</v>
      </c>
      <c r="O50" s="32">
        <f t="shared" si="11"/>
        <v>0.64001138489582166</v>
      </c>
      <c r="P50" s="7">
        <f t="shared" si="12"/>
        <v>0.93858459846633557</v>
      </c>
      <c r="Q50" s="7" t="str">
        <f t="shared" si="13"/>
        <v>FAIL</v>
      </c>
    </row>
    <row r="51" spans="2:17">
      <c r="B51" s="12">
        <v>18</v>
      </c>
      <c r="C51" s="13">
        <f t="shared" si="2"/>
        <v>2</v>
      </c>
      <c r="D51" s="1"/>
      <c r="E51" s="12">
        <v>0</v>
      </c>
      <c r="F51" s="13">
        <f t="shared" si="3"/>
        <v>20</v>
      </c>
      <c r="G51" s="2"/>
      <c r="H51" s="6">
        <f t="shared" si="4"/>
        <v>0.9</v>
      </c>
      <c r="I51" s="32">
        <f t="shared" si="5"/>
        <v>0.7377076948078376</v>
      </c>
      <c r="J51" s="7">
        <f t="shared" si="6"/>
        <v>0.96644457716927756</v>
      </c>
      <c r="K51" s="6">
        <f t="shared" si="7"/>
        <v>0</v>
      </c>
      <c r="L51" s="32">
        <f t="shared" si="8"/>
        <v>3.3007032488877747E-6</v>
      </c>
      <c r="M51" s="7">
        <f t="shared" si="9"/>
        <v>0.1198162614047938</v>
      </c>
      <c r="N51" s="6">
        <f t="shared" si="10"/>
        <v>0.9</v>
      </c>
      <c r="O51" s="32">
        <f t="shared" si="11"/>
        <v>0.69827065453532089</v>
      </c>
      <c r="P51" s="7">
        <f t="shared" si="12"/>
        <v>0.96644457725126054</v>
      </c>
      <c r="Q51" s="7" t="str">
        <f t="shared" si="13"/>
        <v>FAIL</v>
      </c>
    </row>
    <row r="52" spans="2:17">
      <c r="B52" s="12">
        <v>19</v>
      </c>
      <c r="C52" s="13">
        <f t="shared" si="2"/>
        <v>1</v>
      </c>
      <c r="D52" s="1"/>
      <c r="E52" s="12">
        <v>0</v>
      </c>
      <c r="F52" s="13">
        <f t="shared" si="3"/>
        <v>20</v>
      </c>
      <c r="G52" s="2"/>
      <c r="H52" s="6">
        <f t="shared" si="4"/>
        <v>0.95</v>
      </c>
      <c r="I52" s="32">
        <f t="shared" si="5"/>
        <v>0.80335937249454403</v>
      </c>
      <c r="J52" s="7">
        <f t="shared" si="6"/>
        <v>0.98881138336418628</v>
      </c>
      <c r="K52" s="6">
        <f t="shared" si="7"/>
        <v>0</v>
      </c>
      <c r="L52" s="32">
        <f t="shared" si="8"/>
        <v>3.3007032488877747E-6</v>
      </c>
      <c r="M52" s="7">
        <f t="shared" si="9"/>
        <v>0.1198162614047938</v>
      </c>
      <c r="N52" s="6">
        <f t="shared" si="10"/>
        <v>0.95</v>
      </c>
      <c r="O52" s="32">
        <f t="shared" si="11"/>
        <v>0.76063418964286145</v>
      </c>
      <c r="P52" s="7">
        <f t="shared" si="12"/>
        <v>0.98881138350454001</v>
      </c>
      <c r="Q52" s="7" t="str">
        <f t="shared" si="13"/>
        <v>FAIL</v>
      </c>
    </row>
    <row r="53" spans="2:17" ht="15" thickBot="1">
      <c r="B53" s="15">
        <v>20</v>
      </c>
      <c r="C53" s="14">
        <f t="shared" si="2"/>
        <v>0</v>
      </c>
      <c r="D53" s="1"/>
      <c r="E53" s="15">
        <v>0</v>
      </c>
      <c r="F53" s="14">
        <f t="shared" si="3"/>
        <v>20</v>
      </c>
      <c r="G53" s="2"/>
      <c r="H53" s="8">
        <f t="shared" ref="H53" si="14">B53/SUM(B53:C53)</f>
        <v>1</v>
      </c>
      <c r="I53" s="16">
        <f t="shared" ref="I53" si="15">((B53+1.3613)-(1.65*SQRT(B53-(B53^2/SUM(B53:C53))+0.6806)))/(SUM(B53:C53)+2.7225)</f>
        <v>0.88018813951940023</v>
      </c>
      <c r="J53" s="9">
        <f t="shared" ref="J53" si="16">((B53+1.3613)+(1.65*SQRT(B53-(B53^2/SUM(B53:C53))+0.6806)))/(SUM(B53:C53)+2.7225)</f>
        <v>1.0000011002209452</v>
      </c>
      <c r="K53" s="8">
        <f t="shared" ref="K53" si="17">E53/SUM(E53:F53)</f>
        <v>0</v>
      </c>
      <c r="L53" s="16">
        <f t="shared" ref="L53" si="18">((E53+1.3613)-(1.65*SQRT(E53-(E53^2/SUM(E53:F53))+0.6806)))/(SUM(E53:F53)+2.7225)</f>
        <v>3.3007032488877747E-6</v>
      </c>
      <c r="M53" s="9">
        <f t="shared" ref="M53" si="19">((E53+1.3613)+(1.65*SQRT(E53-(E53^2/SUM(E53:F53))+0.6806)))/(SUM(E53:F53)+2.7225)</f>
        <v>0.1198162614047938</v>
      </c>
      <c r="N53" s="8">
        <f t="shared" ref="N53" si="20">H53-K53</f>
        <v>1</v>
      </c>
      <c r="O53" s="16">
        <f t="shared" ref="O53" si="21">N53-SQRT((H53-I53)^2+(K53-M53)^2)</f>
        <v>0.83055733002326537</v>
      </c>
      <c r="P53" s="9">
        <f t="shared" ref="P53" si="22">N53+SQRT((H53-J53)^2+(K53-L53)^2)</f>
        <v>1.0000034792424557</v>
      </c>
      <c r="Q53" s="9" t="str">
        <f t="shared" ref="Q53" si="23">IF(O53*P53&lt;0,"PASS","FAIL")</f>
        <v>FAIL</v>
      </c>
    </row>
    <row r="54" spans="2:17" ht="15" thickBot="1"/>
    <row r="55" spans="2:17">
      <c r="B55" s="3">
        <v>0</v>
      </c>
      <c r="C55" s="11">
        <f>20-B55</f>
        <v>20</v>
      </c>
      <c r="D55" s="1"/>
      <c r="E55" s="3">
        <v>1</v>
      </c>
      <c r="F55" s="11">
        <f>20-E55</f>
        <v>19</v>
      </c>
      <c r="G55" s="2"/>
      <c r="H55" s="5">
        <f>B55/SUM(B55:C55)</f>
        <v>0</v>
      </c>
      <c r="I55" s="41">
        <f>((B55+1.3613)-(1.65*SQRT(B55-(B55^2/SUM(B55:C55))+0.6806)))/(SUM(B55:C55)+2.7225)</f>
        <v>3.3007032488877747E-6</v>
      </c>
      <c r="J55" s="4">
        <f>((B55+1.3613)+(1.65*SQRT(B55-(B55^2/SUM(B55:C55))+0.6806)))/(SUM(B55:C55)+2.7225)</f>
        <v>0.1198162614047938</v>
      </c>
      <c r="K55" s="5">
        <f>E55/SUM(E55:F55)</f>
        <v>0.05</v>
      </c>
      <c r="L55" s="41">
        <f>((E55+1.3613)-(1.65*SQRT(E55-(E55^2/SUM(E55:F55))+0.6806)))/(SUM(E55:F55)+2.7225)</f>
        <v>1.1193017560007713E-2</v>
      </c>
      <c r="M55" s="4">
        <f>((E55+1.3613)+(1.65*SQRT(E55-(E55^2/SUM(E55:F55))+0.6806)))/(SUM(E55:F55)+2.7225)</f>
        <v>0.19664502842965012</v>
      </c>
      <c r="N55" s="5">
        <f>H55-K55</f>
        <v>-0.05</v>
      </c>
      <c r="O55" s="41">
        <f>N55-SQRT((H55-I55)^2+(K55-M55)^2)</f>
        <v>-0.19664502846679643</v>
      </c>
      <c r="P55" s="4">
        <f>N55+SQRT((H55-J55)^2+(K55-L55)^2)</f>
        <v>7.5944108171520877E-2</v>
      </c>
      <c r="Q55" s="4" t="str">
        <f>IF(O55*P55&lt;0,"PASS","FAIL")</f>
        <v>PASS</v>
      </c>
    </row>
    <row r="56" spans="2:17">
      <c r="B56" s="12">
        <v>1</v>
      </c>
      <c r="C56" s="13">
        <f t="shared" ref="C56:C75" si="24">20-B56</f>
        <v>19</v>
      </c>
      <c r="D56" s="1"/>
      <c r="E56" s="12">
        <v>1</v>
      </c>
      <c r="F56" s="13">
        <f t="shared" ref="F56:F75" si="25">20-E56</f>
        <v>19</v>
      </c>
      <c r="G56" s="2"/>
      <c r="H56" s="6">
        <f t="shared" ref="H56:H75" si="26">B56/SUM(B56:C56)</f>
        <v>0.05</v>
      </c>
      <c r="I56" s="32">
        <f t="shared" ref="I56:I75" si="27">((B56+1.3613)-(1.65*SQRT(B56-(B56^2/SUM(B56:C56))+0.6806)))/(SUM(B56:C56)+2.7225)</f>
        <v>1.1193017560007713E-2</v>
      </c>
      <c r="J56" s="7">
        <f t="shared" ref="J56:J75" si="28">((B56+1.3613)+(1.65*SQRT(B56-(B56^2/SUM(B56:C56))+0.6806)))/(SUM(B56:C56)+2.7225)</f>
        <v>0.19664502842965012</v>
      </c>
      <c r="K56" s="6">
        <f t="shared" ref="K56:K75" si="29">E56/SUM(E56:F56)</f>
        <v>0.05</v>
      </c>
      <c r="L56" s="32">
        <f t="shared" ref="L56:L75" si="30">((E56+1.3613)-(1.65*SQRT(E56-(E56^2/SUM(E56:F56))+0.6806)))/(SUM(E56:F56)+2.7225)</f>
        <v>1.1193017560007713E-2</v>
      </c>
      <c r="M56" s="7">
        <f t="shared" ref="M56:M75" si="31">((E56+1.3613)+(1.65*SQRT(E56-(E56^2/SUM(E56:F56))+0.6806)))/(SUM(E56:F56)+2.7225)</f>
        <v>0.19664502842965012</v>
      </c>
      <c r="N56" s="6">
        <f t="shared" ref="N56:N75" si="32">H56-K56</f>
        <v>0</v>
      </c>
      <c r="O56" s="32">
        <f t="shared" ref="O56:O75" si="33">N56-SQRT((H56-I56)^2+(K56-M56)^2)</f>
        <v>-0.15169293407812626</v>
      </c>
      <c r="P56" s="7">
        <f t="shared" ref="P56:P75" si="34">N56+SQRT((H56-J56)^2+(K56-L56)^2)</f>
        <v>0.15169293407812626</v>
      </c>
      <c r="Q56" s="7" t="str">
        <f t="shared" ref="Q56:Q75" si="35">IF(O56*P56&lt;0,"PASS","FAIL")</f>
        <v>PASS</v>
      </c>
    </row>
    <row r="57" spans="2:17">
      <c r="B57" s="12">
        <v>2</v>
      </c>
      <c r="C57" s="13">
        <f t="shared" si="24"/>
        <v>18</v>
      </c>
      <c r="D57" s="1"/>
      <c r="E57" s="12">
        <v>1</v>
      </c>
      <c r="F57" s="13">
        <f t="shared" si="25"/>
        <v>19</v>
      </c>
      <c r="G57" s="2"/>
      <c r="H57" s="6">
        <f t="shared" si="26"/>
        <v>0.1</v>
      </c>
      <c r="I57" s="32">
        <f t="shared" si="27"/>
        <v>3.3559823754916465E-2</v>
      </c>
      <c r="J57" s="7">
        <f t="shared" si="28"/>
        <v>0.26229670611635653</v>
      </c>
      <c r="K57" s="6">
        <f t="shared" si="29"/>
        <v>0.05</v>
      </c>
      <c r="L57" s="32">
        <f t="shared" si="30"/>
        <v>1.1193017560007713E-2</v>
      </c>
      <c r="M57" s="7">
        <f t="shared" si="31"/>
        <v>0.19664502842965012</v>
      </c>
      <c r="N57" s="6">
        <f t="shared" si="32"/>
        <v>0.05</v>
      </c>
      <c r="O57" s="32">
        <f t="shared" si="33"/>
        <v>-0.11099397933652876</v>
      </c>
      <c r="P57" s="7">
        <f t="shared" si="34"/>
        <v>0.21687181518254323</v>
      </c>
      <c r="Q57" s="7" t="str">
        <f t="shared" si="35"/>
        <v>PASS</v>
      </c>
    </row>
    <row r="58" spans="2:17">
      <c r="B58" s="12">
        <v>3</v>
      </c>
      <c r="C58" s="13">
        <f t="shared" si="24"/>
        <v>17</v>
      </c>
      <c r="D58" s="1"/>
      <c r="E58" s="12">
        <v>1</v>
      </c>
      <c r="F58" s="13">
        <f t="shared" si="25"/>
        <v>19</v>
      </c>
      <c r="G58" s="2"/>
      <c r="H58" s="6">
        <f t="shared" si="26"/>
        <v>0.15</v>
      </c>
      <c r="I58" s="32">
        <f t="shared" si="27"/>
        <v>6.1419802519351356E-2</v>
      </c>
      <c r="J58" s="7">
        <f t="shared" si="28"/>
        <v>0.32245521123353676</v>
      </c>
      <c r="K58" s="6">
        <f t="shared" si="29"/>
        <v>0.05</v>
      </c>
      <c r="L58" s="32">
        <f t="shared" si="30"/>
        <v>1.1193017560007713E-2</v>
      </c>
      <c r="M58" s="7">
        <f t="shared" si="31"/>
        <v>0.19664502842965012</v>
      </c>
      <c r="N58" s="6">
        <f t="shared" si="32"/>
        <v>9.9999999999999992E-2</v>
      </c>
      <c r="O58" s="32">
        <f t="shared" si="33"/>
        <v>-7.1321965167469401E-2</v>
      </c>
      <c r="P58" s="7">
        <f t="shared" si="34"/>
        <v>0.27676759252674582</v>
      </c>
      <c r="Q58" s="7" t="str">
        <f t="shared" si="35"/>
        <v>PASS</v>
      </c>
    </row>
    <row r="59" spans="2:17">
      <c r="B59" s="12">
        <v>4</v>
      </c>
      <c r="C59" s="13">
        <f t="shared" si="24"/>
        <v>16</v>
      </c>
      <c r="D59" s="1"/>
      <c r="E59" s="12">
        <v>1</v>
      </c>
      <c r="F59" s="13">
        <f t="shared" si="25"/>
        <v>19</v>
      </c>
      <c r="G59" s="2"/>
      <c r="H59" s="6">
        <f t="shared" si="26"/>
        <v>0.2</v>
      </c>
      <c r="I59" s="32">
        <f t="shared" si="27"/>
        <v>9.2900237075401015E-2</v>
      </c>
      <c r="J59" s="7">
        <f t="shared" si="28"/>
        <v>0.37899326055910226</v>
      </c>
      <c r="K59" s="6">
        <f t="shared" si="29"/>
        <v>0.05</v>
      </c>
      <c r="L59" s="32">
        <f t="shared" si="30"/>
        <v>1.1193017560007713E-2</v>
      </c>
      <c r="M59" s="7">
        <f t="shared" si="31"/>
        <v>0.19664502842965012</v>
      </c>
      <c r="N59" s="6">
        <f t="shared" si="32"/>
        <v>0.15000000000000002</v>
      </c>
      <c r="O59" s="32">
        <f t="shared" si="33"/>
        <v>-3.159053824921107E-2</v>
      </c>
      <c r="P59" s="7">
        <f t="shared" si="34"/>
        <v>0.33315176551613296</v>
      </c>
      <c r="Q59" s="7" t="str">
        <f t="shared" si="35"/>
        <v>PASS</v>
      </c>
    </row>
    <row r="60" spans="2:17">
      <c r="B60" s="12">
        <v>5</v>
      </c>
      <c r="C60" s="13">
        <f t="shared" si="24"/>
        <v>15</v>
      </c>
      <c r="D60" s="1"/>
      <c r="E60" s="12">
        <v>1</v>
      </c>
      <c r="F60" s="13">
        <f t="shared" si="25"/>
        <v>19</v>
      </c>
      <c r="G60" s="2"/>
      <c r="H60" s="6">
        <f t="shared" si="26"/>
        <v>0.25</v>
      </c>
      <c r="I60" s="32">
        <f t="shared" si="27"/>
        <v>0.12710822188096477</v>
      </c>
      <c r="J60" s="7">
        <f t="shared" si="28"/>
        <v>0.43280375963515361</v>
      </c>
      <c r="K60" s="6">
        <f t="shared" si="29"/>
        <v>0.05</v>
      </c>
      <c r="L60" s="32">
        <f t="shared" si="30"/>
        <v>1.1193017560007713E-2</v>
      </c>
      <c r="M60" s="7">
        <f t="shared" si="31"/>
        <v>0.19664502842965012</v>
      </c>
      <c r="N60" s="6">
        <f t="shared" si="32"/>
        <v>0.2</v>
      </c>
      <c r="O60" s="32">
        <f t="shared" si="33"/>
        <v>8.6700402644921126E-3</v>
      </c>
      <c r="P60" s="7">
        <f t="shared" si="34"/>
        <v>0.38687749041242203</v>
      </c>
      <c r="Q60" s="7" t="str">
        <f t="shared" si="35"/>
        <v>FAIL</v>
      </c>
    </row>
    <row r="61" spans="2:17">
      <c r="B61" s="12">
        <v>6</v>
      </c>
      <c r="C61" s="13">
        <f t="shared" si="24"/>
        <v>14</v>
      </c>
      <c r="D61" s="1"/>
      <c r="E61" s="12">
        <v>1</v>
      </c>
      <c r="F61" s="13">
        <f t="shared" si="25"/>
        <v>19</v>
      </c>
      <c r="G61" s="2"/>
      <c r="H61" s="6">
        <f t="shared" si="26"/>
        <v>0.3</v>
      </c>
      <c r="I61" s="32">
        <f t="shared" si="27"/>
        <v>0.16354304302976813</v>
      </c>
      <c r="J61" s="7">
        <f t="shared" si="28"/>
        <v>0.48438742236796539</v>
      </c>
      <c r="K61" s="6">
        <f t="shared" si="29"/>
        <v>0.05</v>
      </c>
      <c r="L61" s="32">
        <f t="shared" si="30"/>
        <v>1.1193017560007713E-2</v>
      </c>
      <c r="M61" s="7">
        <f t="shared" si="31"/>
        <v>0.19664502842965012</v>
      </c>
      <c r="N61" s="6">
        <f t="shared" si="32"/>
        <v>0.25</v>
      </c>
      <c r="O61" s="32">
        <f t="shared" si="33"/>
        <v>4.9687081123786253E-2</v>
      </c>
      <c r="P61" s="7">
        <f t="shared" si="34"/>
        <v>0.43842691796449984</v>
      </c>
      <c r="Q61" s="7" t="str">
        <f t="shared" si="35"/>
        <v>FAIL</v>
      </c>
    </row>
    <row r="62" spans="2:17">
      <c r="B62" s="12">
        <v>7</v>
      </c>
      <c r="C62" s="13">
        <f t="shared" si="24"/>
        <v>13</v>
      </c>
      <c r="D62" s="1"/>
      <c r="E62" s="12">
        <v>1</v>
      </c>
      <c r="F62" s="13">
        <f t="shared" si="25"/>
        <v>19</v>
      </c>
      <c r="G62" s="2"/>
      <c r="H62" s="6">
        <f t="shared" si="26"/>
        <v>0.35</v>
      </c>
      <c r="I62" s="32">
        <f t="shared" si="27"/>
        <v>0.20189973247796225</v>
      </c>
      <c r="J62" s="7">
        <f t="shared" si="28"/>
        <v>0.53404921680138639</v>
      </c>
      <c r="K62" s="6">
        <f t="shared" si="29"/>
        <v>0.05</v>
      </c>
      <c r="L62" s="32">
        <f t="shared" si="30"/>
        <v>1.1193017560007713E-2</v>
      </c>
      <c r="M62" s="7">
        <f t="shared" si="31"/>
        <v>0.19664502842965012</v>
      </c>
      <c r="N62" s="6">
        <f t="shared" si="32"/>
        <v>0.3</v>
      </c>
      <c r="O62" s="32">
        <f t="shared" si="33"/>
        <v>9.1581062273045744E-2</v>
      </c>
      <c r="P62" s="7">
        <f t="shared" si="34"/>
        <v>0.48809597574456931</v>
      </c>
      <c r="Q62" s="7" t="str">
        <f t="shared" si="35"/>
        <v>FAIL</v>
      </c>
    </row>
    <row r="63" spans="2:17">
      <c r="B63" s="12">
        <v>8</v>
      </c>
      <c r="C63" s="13">
        <f t="shared" si="24"/>
        <v>12</v>
      </c>
      <c r="D63" s="1"/>
      <c r="E63" s="12">
        <v>1</v>
      </c>
      <c r="F63" s="13">
        <f t="shared" si="25"/>
        <v>19</v>
      </c>
      <c r="G63" s="2"/>
      <c r="H63" s="6">
        <f t="shared" si="26"/>
        <v>0.4</v>
      </c>
      <c r="I63" s="32">
        <f t="shared" si="27"/>
        <v>0.24198647075497337</v>
      </c>
      <c r="J63" s="7">
        <f t="shared" si="28"/>
        <v>0.5819809624059904</v>
      </c>
      <c r="K63" s="6">
        <f t="shared" si="29"/>
        <v>0.05</v>
      </c>
      <c r="L63" s="32">
        <f t="shared" si="30"/>
        <v>1.1193017560007713E-2</v>
      </c>
      <c r="M63" s="7">
        <f t="shared" si="31"/>
        <v>0.19664502842965012</v>
      </c>
      <c r="N63" s="6">
        <f t="shared" si="32"/>
        <v>0.35000000000000003</v>
      </c>
      <c r="O63" s="32">
        <f t="shared" si="33"/>
        <v>0.13442393503080688</v>
      </c>
      <c r="P63" s="7">
        <f t="shared" si="34"/>
        <v>0.53607270773627269</v>
      </c>
      <c r="Q63" s="7" t="str">
        <f t="shared" si="35"/>
        <v>FAIL</v>
      </c>
    </row>
    <row r="64" spans="2:17">
      <c r="B64" s="12">
        <v>9</v>
      </c>
      <c r="C64" s="13">
        <f t="shared" si="24"/>
        <v>11</v>
      </c>
      <c r="D64" s="1"/>
      <c r="E64" s="12">
        <v>1</v>
      </c>
      <c r="F64" s="13">
        <f t="shared" si="25"/>
        <v>19</v>
      </c>
      <c r="G64" s="2"/>
      <c r="H64" s="6">
        <f t="shared" si="26"/>
        <v>0.45</v>
      </c>
      <c r="I64" s="32">
        <f t="shared" si="27"/>
        <v>0.28368506621578338</v>
      </c>
      <c r="J64" s="7">
        <f t="shared" si="28"/>
        <v>0.62830085082679554</v>
      </c>
      <c r="K64" s="6">
        <f t="shared" si="29"/>
        <v>0.05</v>
      </c>
      <c r="L64" s="32">
        <f t="shared" si="30"/>
        <v>1.1193017560007713E-2</v>
      </c>
      <c r="M64" s="7">
        <f t="shared" si="31"/>
        <v>0.19664502842965012</v>
      </c>
      <c r="N64" s="6">
        <f t="shared" si="32"/>
        <v>0.4</v>
      </c>
      <c r="O64" s="32">
        <f t="shared" si="33"/>
        <v>0.17826722938911072</v>
      </c>
      <c r="P64" s="7">
        <f t="shared" si="34"/>
        <v>0.58247513609162505</v>
      </c>
      <c r="Q64" s="7" t="str">
        <f t="shared" si="35"/>
        <v>FAIL</v>
      </c>
    </row>
    <row r="65" spans="2:17">
      <c r="B65" s="12">
        <v>10</v>
      </c>
      <c r="C65" s="13">
        <f t="shared" si="24"/>
        <v>10</v>
      </c>
      <c r="D65" s="1"/>
      <c r="E65" s="12">
        <v>1</v>
      </c>
      <c r="F65" s="13">
        <f t="shared" si="25"/>
        <v>19</v>
      </c>
      <c r="G65" s="2"/>
      <c r="H65" s="6">
        <f t="shared" si="26"/>
        <v>0.5</v>
      </c>
      <c r="I65" s="32">
        <f t="shared" si="27"/>
        <v>0.32693094787634341</v>
      </c>
      <c r="J65" s="7">
        <f t="shared" si="28"/>
        <v>0.6730734530478506</v>
      </c>
      <c r="K65" s="6">
        <f t="shared" si="29"/>
        <v>0.05</v>
      </c>
      <c r="L65" s="32">
        <f t="shared" si="30"/>
        <v>1.1193017560007713E-2</v>
      </c>
      <c r="M65" s="7">
        <f t="shared" si="31"/>
        <v>0.19664502842965012</v>
      </c>
      <c r="N65" s="6">
        <f t="shared" si="32"/>
        <v>0.45</v>
      </c>
      <c r="O65" s="32">
        <f t="shared" si="33"/>
        <v>0.2231571884186897</v>
      </c>
      <c r="P65" s="7">
        <f t="shared" si="34"/>
        <v>0.62737080378688148</v>
      </c>
      <c r="Q65" s="7" t="str">
        <f t="shared" si="35"/>
        <v>FAIL</v>
      </c>
    </row>
    <row r="66" spans="2:17">
      <c r="B66" s="12">
        <v>11</v>
      </c>
      <c r="C66" s="13">
        <f t="shared" si="24"/>
        <v>9</v>
      </c>
      <c r="D66" s="1"/>
      <c r="E66" s="12">
        <v>1</v>
      </c>
      <c r="F66" s="13">
        <f t="shared" si="25"/>
        <v>19</v>
      </c>
      <c r="G66" s="2"/>
      <c r="H66" s="6">
        <f t="shared" si="26"/>
        <v>0.55000000000000004</v>
      </c>
      <c r="I66" s="32">
        <f t="shared" si="27"/>
        <v>0.37170355009739847</v>
      </c>
      <c r="J66" s="7">
        <f t="shared" si="28"/>
        <v>0.71631933470841069</v>
      </c>
      <c r="K66" s="6">
        <f t="shared" si="29"/>
        <v>0.05</v>
      </c>
      <c r="L66" s="32">
        <f t="shared" si="30"/>
        <v>1.1193017560007713E-2</v>
      </c>
      <c r="M66" s="7">
        <f t="shared" si="31"/>
        <v>0.19664502842965012</v>
      </c>
      <c r="N66" s="6">
        <f t="shared" si="32"/>
        <v>0.5</v>
      </c>
      <c r="O66" s="32">
        <f t="shared" si="33"/>
        <v>0.2691442259526442</v>
      </c>
      <c r="P66" s="7">
        <f t="shared" si="34"/>
        <v>0.67078671782063792</v>
      </c>
      <c r="Q66" s="7" t="str">
        <f t="shared" si="35"/>
        <v>FAIL</v>
      </c>
    </row>
    <row r="67" spans="2:17">
      <c r="B67" s="12">
        <v>12</v>
      </c>
      <c r="C67" s="13">
        <f t="shared" si="24"/>
        <v>8</v>
      </c>
      <c r="D67" s="1"/>
      <c r="E67" s="12">
        <v>1</v>
      </c>
      <c r="F67" s="13">
        <f t="shared" si="25"/>
        <v>19</v>
      </c>
      <c r="G67" s="2"/>
      <c r="H67" s="6">
        <f t="shared" si="26"/>
        <v>0.6</v>
      </c>
      <c r="I67" s="32">
        <f t="shared" si="27"/>
        <v>0.41802343851820367</v>
      </c>
      <c r="J67" s="7">
        <f t="shared" si="28"/>
        <v>0.75801793016922059</v>
      </c>
      <c r="K67" s="6">
        <f t="shared" si="29"/>
        <v>0.05</v>
      </c>
      <c r="L67" s="32">
        <f t="shared" si="30"/>
        <v>1.1193017560007713E-2</v>
      </c>
      <c r="M67" s="7">
        <f t="shared" si="31"/>
        <v>0.19664502842965012</v>
      </c>
      <c r="N67" s="6">
        <f t="shared" si="32"/>
        <v>0.54999999999999993</v>
      </c>
      <c r="O67" s="32">
        <f t="shared" si="33"/>
        <v>0.31629027985154123</v>
      </c>
      <c r="P67" s="7">
        <f t="shared" si="34"/>
        <v>0.71271339262968647</v>
      </c>
      <c r="Q67" s="7" t="str">
        <f t="shared" si="35"/>
        <v>FAIL</v>
      </c>
    </row>
    <row r="68" spans="2:17">
      <c r="B68" s="12">
        <v>13</v>
      </c>
      <c r="C68" s="13">
        <f t="shared" si="24"/>
        <v>7</v>
      </c>
      <c r="D68" s="1"/>
      <c r="E68" s="12">
        <v>1</v>
      </c>
      <c r="F68" s="13">
        <f t="shared" si="25"/>
        <v>19</v>
      </c>
      <c r="G68" s="2"/>
      <c r="H68" s="6">
        <f t="shared" si="26"/>
        <v>0.65</v>
      </c>
      <c r="I68" s="32">
        <f t="shared" si="27"/>
        <v>0.46595518412280768</v>
      </c>
      <c r="J68" s="7">
        <f t="shared" si="28"/>
        <v>0.79810466844623185</v>
      </c>
      <c r="K68" s="6">
        <f t="shared" si="29"/>
        <v>0.05</v>
      </c>
      <c r="L68" s="32">
        <f t="shared" si="30"/>
        <v>1.1193017560007713E-2</v>
      </c>
      <c r="M68" s="7">
        <f t="shared" si="31"/>
        <v>0.19664502842965012</v>
      </c>
      <c r="N68" s="6">
        <f t="shared" si="32"/>
        <v>0.6</v>
      </c>
      <c r="O68" s="32">
        <f t="shared" si="33"/>
        <v>0.36467626848445028</v>
      </c>
      <c r="P68" s="7">
        <f t="shared" si="34"/>
        <v>0.75310445683149174</v>
      </c>
      <c r="Q68" s="7" t="str">
        <f t="shared" si="35"/>
        <v>FAIL</v>
      </c>
    </row>
    <row r="69" spans="2:17">
      <c r="B69" s="12">
        <v>14</v>
      </c>
      <c r="C69" s="13">
        <f t="shared" si="24"/>
        <v>6</v>
      </c>
      <c r="D69" s="1"/>
      <c r="E69" s="12">
        <v>1</v>
      </c>
      <c r="F69" s="13">
        <f t="shared" si="25"/>
        <v>19</v>
      </c>
      <c r="G69" s="2"/>
      <c r="H69" s="6">
        <f t="shared" si="26"/>
        <v>0.7</v>
      </c>
      <c r="I69" s="32">
        <f t="shared" si="27"/>
        <v>0.51561697855622868</v>
      </c>
      <c r="J69" s="7">
        <f t="shared" si="28"/>
        <v>0.83646135789442599</v>
      </c>
      <c r="K69" s="6">
        <f t="shared" si="29"/>
        <v>0.05</v>
      </c>
      <c r="L69" s="32">
        <f t="shared" si="30"/>
        <v>1.1193017560007713E-2</v>
      </c>
      <c r="M69" s="7">
        <f t="shared" si="31"/>
        <v>0.19664502842965012</v>
      </c>
      <c r="N69" s="6">
        <f t="shared" si="32"/>
        <v>0.64999999999999991</v>
      </c>
      <c r="O69" s="32">
        <f t="shared" si="33"/>
        <v>0.41441166633326865</v>
      </c>
      <c r="P69" s="7">
        <f t="shared" si="34"/>
        <v>0.79187206943048538</v>
      </c>
      <c r="Q69" s="7" t="str">
        <f t="shared" si="35"/>
        <v>FAIL</v>
      </c>
    </row>
    <row r="70" spans="2:17">
      <c r="B70" s="12">
        <v>15</v>
      </c>
      <c r="C70" s="13">
        <f t="shared" si="24"/>
        <v>5</v>
      </c>
      <c r="D70" s="1"/>
      <c r="E70" s="12">
        <v>1</v>
      </c>
      <c r="F70" s="13">
        <f t="shared" si="25"/>
        <v>19</v>
      </c>
      <c r="G70" s="2"/>
      <c r="H70" s="6">
        <f t="shared" si="26"/>
        <v>0.75</v>
      </c>
      <c r="I70" s="32">
        <f t="shared" si="27"/>
        <v>0.56720064128904046</v>
      </c>
      <c r="J70" s="7">
        <f t="shared" si="28"/>
        <v>0.87289617904322925</v>
      </c>
      <c r="K70" s="6">
        <f t="shared" si="29"/>
        <v>0.05</v>
      </c>
      <c r="L70" s="32">
        <f t="shared" si="30"/>
        <v>1.1193017560007713E-2</v>
      </c>
      <c r="M70" s="7">
        <f t="shared" si="31"/>
        <v>0.19664502842965012</v>
      </c>
      <c r="N70" s="6">
        <f t="shared" si="32"/>
        <v>0.7</v>
      </c>
      <c r="O70" s="32">
        <f t="shared" si="33"/>
        <v>0.46564904542914498</v>
      </c>
      <c r="P70" s="7">
        <f t="shared" si="34"/>
        <v>0.82887766567378274</v>
      </c>
      <c r="Q70" s="7" t="str">
        <f t="shared" si="35"/>
        <v>FAIL</v>
      </c>
    </row>
    <row r="71" spans="2:17">
      <c r="B71" s="12">
        <v>16</v>
      </c>
      <c r="C71" s="13">
        <f t="shared" si="24"/>
        <v>4</v>
      </c>
      <c r="D71" s="1"/>
      <c r="E71" s="12">
        <v>1</v>
      </c>
      <c r="F71" s="13">
        <f t="shared" si="25"/>
        <v>19</v>
      </c>
      <c r="G71" s="2"/>
      <c r="H71" s="6">
        <f t="shared" si="26"/>
        <v>0.8</v>
      </c>
      <c r="I71" s="32">
        <f t="shared" si="27"/>
        <v>0.62101114036509186</v>
      </c>
      <c r="J71" s="7">
        <f t="shared" si="28"/>
        <v>0.907104163848793</v>
      </c>
      <c r="K71" s="6">
        <f t="shared" si="29"/>
        <v>0.05</v>
      </c>
      <c r="L71" s="32">
        <f t="shared" si="30"/>
        <v>1.1193017560007713E-2</v>
      </c>
      <c r="M71" s="7">
        <f t="shared" si="31"/>
        <v>0.19664502842965012</v>
      </c>
      <c r="N71" s="6">
        <f t="shared" si="32"/>
        <v>0.75</v>
      </c>
      <c r="O71" s="32">
        <f t="shared" si="33"/>
        <v>0.51860904028778965</v>
      </c>
      <c r="P71" s="7">
        <f t="shared" si="34"/>
        <v>0.86391788182654627</v>
      </c>
      <c r="Q71" s="7" t="str">
        <f t="shared" si="35"/>
        <v>FAIL</v>
      </c>
    </row>
    <row r="72" spans="2:17">
      <c r="B72" s="12">
        <v>17</v>
      </c>
      <c r="C72" s="13">
        <f t="shared" si="24"/>
        <v>3</v>
      </c>
      <c r="D72" s="1"/>
      <c r="E72" s="12">
        <v>1</v>
      </c>
      <c r="F72" s="13">
        <f t="shared" si="25"/>
        <v>19</v>
      </c>
      <c r="G72" s="2"/>
      <c r="H72" s="6">
        <f t="shared" si="26"/>
        <v>0.85</v>
      </c>
      <c r="I72" s="32">
        <f t="shared" si="27"/>
        <v>0.67754918969065736</v>
      </c>
      <c r="J72" s="7">
        <f t="shared" si="28"/>
        <v>0.93858459840484276</v>
      </c>
      <c r="K72" s="6">
        <f t="shared" si="29"/>
        <v>0.05</v>
      </c>
      <c r="L72" s="32">
        <f t="shared" si="30"/>
        <v>1.1193017560007713E-2</v>
      </c>
      <c r="M72" s="7">
        <f t="shared" si="31"/>
        <v>0.19664502842965012</v>
      </c>
      <c r="N72" s="6">
        <f t="shared" si="32"/>
        <v>0.79999999999999993</v>
      </c>
      <c r="O72" s="32">
        <f t="shared" si="33"/>
        <v>0.57362852136481113</v>
      </c>
      <c r="P72" s="7">
        <f t="shared" si="34"/>
        <v>0.8967120104260331</v>
      </c>
      <c r="Q72" s="7" t="str">
        <f t="shared" si="35"/>
        <v>FAIL</v>
      </c>
    </row>
    <row r="73" spans="2:17">
      <c r="B73" s="12">
        <v>18</v>
      </c>
      <c r="C73" s="13">
        <f t="shared" si="24"/>
        <v>2</v>
      </c>
      <c r="D73" s="1"/>
      <c r="E73" s="12">
        <v>1</v>
      </c>
      <c r="F73" s="13">
        <f t="shared" si="25"/>
        <v>19</v>
      </c>
      <c r="G73" s="2"/>
      <c r="H73" s="6">
        <f t="shared" si="26"/>
        <v>0.9</v>
      </c>
      <c r="I73" s="32">
        <f t="shared" si="27"/>
        <v>0.7377076948078376</v>
      </c>
      <c r="J73" s="7">
        <f t="shared" si="28"/>
        <v>0.96644457716927756</v>
      </c>
      <c r="K73" s="6">
        <f t="shared" si="29"/>
        <v>0.05</v>
      </c>
      <c r="L73" s="32">
        <f t="shared" si="30"/>
        <v>1.1193017560007713E-2</v>
      </c>
      <c r="M73" s="7">
        <f t="shared" si="31"/>
        <v>0.19664502842965012</v>
      </c>
      <c r="N73" s="6">
        <f t="shared" si="32"/>
        <v>0.85</v>
      </c>
      <c r="O73" s="32">
        <f t="shared" si="33"/>
        <v>0.63126829976494292</v>
      </c>
      <c r="P73" s="7">
        <f t="shared" si="34"/>
        <v>0.92694714888351581</v>
      </c>
      <c r="Q73" s="7" t="str">
        <f t="shared" si="35"/>
        <v>FAIL</v>
      </c>
    </row>
    <row r="74" spans="2:17">
      <c r="B74" s="12">
        <v>19</v>
      </c>
      <c r="C74" s="13">
        <f t="shared" si="24"/>
        <v>1</v>
      </c>
      <c r="D74" s="1"/>
      <c r="E74" s="12">
        <v>1</v>
      </c>
      <c r="F74" s="13">
        <f t="shared" si="25"/>
        <v>19</v>
      </c>
      <c r="G74" s="2"/>
      <c r="H74" s="6">
        <f t="shared" si="26"/>
        <v>0.95</v>
      </c>
      <c r="I74" s="32">
        <f t="shared" si="27"/>
        <v>0.80335937249454403</v>
      </c>
      <c r="J74" s="7">
        <f t="shared" si="28"/>
        <v>0.98881138336418628</v>
      </c>
      <c r="K74" s="6">
        <f t="shared" si="29"/>
        <v>0.05</v>
      </c>
      <c r="L74" s="32">
        <f t="shared" si="30"/>
        <v>1.1193017560007713E-2</v>
      </c>
      <c r="M74" s="7">
        <f t="shared" si="31"/>
        <v>0.19664502842965012</v>
      </c>
      <c r="N74" s="6">
        <f t="shared" si="32"/>
        <v>0.89999999999999991</v>
      </c>
      <c r="O74" s="32">
        <f t="shared" si="33"/>
        <v>0.69261572384019376</v>
      </c>
      <c r="P74" s="7">
        <f t="shared" si="34"/>
        <v>0.95488447289297496</v>
      </c>
      <c r="Q74" s="7" t="str">
        <f t="shared" si="35"/>
        <v>FAIL</v>
      </c>
    </row>
    <row r="75" spans="2:17" ht="15" thickBot="1">
      <c r="B75" s="15">
        <v>20</v>
      </c>
      <c r="C75" s="14">
        <f t="shared" si="24"/>
        <v>0</v>
      </c>
      <c r="D75" s="1"/>
      <c r="E75" s="15">
        <v>1</v>
      </c>
      <c r="F75" s="14">
        <f t="shared" si="25"/>
        <v>19</v>
      </c>
      <c r="G75" s="2"/>
      <c r="H75" s="8">
        <f t="shared" si="26"/>
        <v>1</v>
      </c>
      <c r="I75" s="16">
        <f t="shared" si="27"/>
        <v>0.88018813951940023</v>
      </c>
      <c r="J75" s="9">
        <f t="shared" si="28"/>
        <v>1.0000011002209452</v>
      </c>
      <c r="K75" s="8">
        <f t="shared" si="29"/>
        <v>0.05</v>
      </c>
      <c r="L75" s="16">
        <f t="shared" si="30"/>
        <v>1.1193017560007713E-2</v>
      </c>
      <c r="M75" s="9">
        <f t="shared" si="31"/>
        <v>0.19664502842965012</v>
      </c>
      <c r="N75" s="8">
        <f t="shared" si="32"/>
        <v>0.95</v>
      </c>
      <c r="O75" s="16">
        <f t="shared" si="33"/>
        <v>0.76063356613445032</v>
      </c>
      <c r="P75" s="9">
        <f t="shared" si="34"/>
        <v>0.98880698245558851</v>
      </c>
      <c r="Q75" s="9" t="str">
        <f t="shared" si="35"/>
        <v>FAIL</v>
      </c>
    </row>
    <row r="76" spans="2:17" ht="15" thickBot="1"/>
    <row r="77" spans="2:17">
      <c r="B77" s="3">
        <v>0</v>
      </c>
      <c r="C77" s="11">
        <f>20-B77</f>
        <v>20</v>
      </c>
      <c r="D77" s="1"/>
      <c r="E77" s="3">
        <v>2</v>
      </c>
      <c r="F77" s="11">
        <f>20-E77</f>
        <v>18</v>
      </c>
      <c r="G77" s="2"/>
      <c r="H77" s="5">
        <f>B77/SUM(B77:C77)</f>
        <v>0</v>
      </c>
      <c r="I77" s="41">
        <f>((B77+1.3613)-(1.65*SQRT(B77-(B77^2/SUM(B77:C77))+0.6806)))/(SUM(B77:C77)+2.7225)</f>
        <v>3.3007032488877747E-6</v>
      </c>
      <c r="J77" s="4">
        <f>((B77+1.3613)+(1.65*SQRT(B77-(B77^2/SUM(B77:C77))+0.6806)))/(SUM(B77:C77)+2.7225)</f>
        <v>0.1198162614047938</v>
      </c>
      <c r="K77" s="5">
        <f>E77/SUM(E77:F77)</f>
        <v>0.1</v>
      </c>
      <c r="L77" s="41">
        <f>((E77+1.3613)-(1.65*SQRT(E77-(E77^2/SUM(E77:F77))+0.6806)))/(SUM(E77:F77)+2.7225)</f>
        <v>3.3559823754916465E-2</v>
      </c>
      <c r="M77" s="4">
        <f>((E77+1.3613)+(1.65*SQRT(E77-(E77^2/SUM(E77:F77))+0.6806)))/(SUM(E77:F77)+2.7225)</f>
        <v>0.26229670611635653</v>
      </c>
      <c r="N77" s="5">
        <f>H77-K77</f>
        <v>-0.1</v>
      </c>
      <c r="O77" s="41">
        <f>N77-SQRT((H77-I77)^2+(K77-M77)^2)</f>
        <v>-0.26229670614992051</v>
      </c>
      <c r="P77" s="4">
        <f>N77+SQRT((H77-J77)^2+(K77-L77)^2)</f>
        <v>3.7004501811070595E-2</v>
      </c>
      <c r="Q77" s="4" t="str">
        <f>IF(O77*P77&lt;0,"PASS","FAIL")</f>
        <v>PASS</v>
      </c>
    </row>
    <row r="78" spans="2:17">
      <c r="B78" s="12">
        <v>1</v>
      </c>
      <c r="C78" s="13">
        <f t="shared" ref="C78:C97" si="36">20-B78</f>
        <v>19</v>
      </c>
      <c r="D78" s="1"/>
      <c r="E78" s="12">
        <v>2</v>
      </c>
      <c r="F78" s="13">
        <f t="shared" ref="F78:F97" si="37">20-E78</f>
        <v>18</v>
      </c>
      <c r="G78" s="2"/>
      <c r="H78" s="6">
        <f t="shared" ref="H78:H97" si="38">B78/SUM(B78:C78)</f>
        <v>0.05</v>
      </c>
      <c r="I78" s="32">
        <f t="shared" ref="I78:I97" si="39">((B78+1.3613)-(1.65*SQRT(B78-(B78^2/SUM(B78:C78))+0.6806)))/(SUM(B78:C78)+2.7225)</f>
        <v>1.1193017560007713E-2</v>
      </c>
      <c r="J78" s="7">
        <f t="shared" ref="J78:J97" si="40">((B78+1.3613)+(1.65*SQRT(B78-(B78^2/SUM(B78:C78))+0.6806)))/(SUM(B78:C78)+2.7225)</f>
        <v>0.19664502842965012</v>
      </c>
      <c r="K78" s="6">
        <f t="shared" ref="K78:K97" si="41">E78/SUM(E78:F78)</f>
        <v>0.1</v>
      </c>
      <c r="L78" s="32">
        <f t="shared" ref="L78:L97" si="42">((E78+1.3613)-(1.65*SQRT(E78-(E78^2/SUM(E78:F78))+0.6806)))/(SUM(E78:F78)+2.7225)</f>
        <v>3.3559823754916465E-2</v>
      </c>
      <c r="M78" s="7">
        <f t="shared" ref="M78:M97" si="43">((E78+1.3613)+(1.65*SQRT(E78-(E78^2/SUM(E78:F78))+0.6806)))/(SUM(E78:F78)+2.7225)</f>
        <v>0.26229670611635653</v>
      </c>
      <c r="N78" s="6">
        <f t="shared" ref="N78:N97" si="44">H78-K78</f>
        <v>-0.05</v>
      </c>
      <c r="O78" s="32">
        <f t="shared" ref="O78:O97" si="45">N78-SQRT((H78-I78)^2+(K78-M78)^2)</f>
        <v>-0.21687181518254323</v>
      </c>
      <c r="P78" s="7">
        <f t="shared" ref="P78:P97" si="46">N78+SQRT((H78-J78)^2+(K78-L78)^2)</f>
        <v>0.11099397933652876</v>
      </c>
      <c r="Q78" s="7" t="str">
        <f t="shared" ref="Q78:Q97" si="47">IF(O78*P78&lt;0,"PASS","FAIL")</f>
        <v>PASS</v>
      </c>
    </row>
    <row r="79" spans="2:17">
      <c r="B79" s="12">
        <v>2</v>
      </c>
      <c r="C79" s="13">
        <f t="shared" si="36"/>
        <v>18</v>
      </c>
      <c r="D79" s="1"/>
      <c r="E79" s="12">
        <v>2</v>
      </c>
      <c r="F79" s="13">
        <f t="shared" si="37"/>
        <v>18</v>
      </c>
      <c r="G79" s="2"/>
      <c r="H79" s="6">
        <f t="shared" si="38"/>
        <v>0.1</v>
      </c>
      <c r="I79" s="32">
        <f t="shared" si="39"/>
        <v>3.3559823754916465E-2</v>
      </c>
      <c r="J79" s="7">
        <f t="shared" si="40"/>
        <v>0.26229670611635653</v>
      </c>
      <c r="K79" s="6">
        <f t="shared" si="41"/>
        <v>0.1</v>
      </c>
      <c r="L79" s="32">
        <f t="shared" si="42"/>
        <v>3.3559823754916465E-2</v>
      </c>
      <c r="M79" s="7">
        <f t="shared" si="43"/>
        <v>0.26229670611635653</v>
      </c>
      <c r="N79" s="6">
        <f t="shared" si="44"/>
        <v>0</v>
      </c>
      <c r="O79" s="32">
        <f t="shared" si="45"/>
        <v>-0.175369660533676</v>
      </c>
      <c r="P79" s="7">
        <f t="shared" si="46"/>
        <v>0.175369660533676</v>
      </c>
      <c r="Q79" s="7" t="str">
        <f t="shared" si="47"/>
        <v>PASS</v>
      </c>
    </row>
    <row r="80" spans="2:17">
      <c r="B80" s="12">
        <v>3</v>
      </c>
      <c r="C80" s="13">
        <f t="shared" si="36"/>
        <v>17</v>
      </c>
      <c r="D80" s="1"/>
      <c r="E80" s="12">
        <v>2</v>
      </c>
      <c r="F80" s="13">
        <f t="shared" si="37"/>
        <v>18</v>
      </c>
      <c r="G80" s="2"/>
      <c r="H80" s="6">
        <f t="shared" si="38"/>
        <v>0.15</v>
      </c>
      <c r="I80" s="32">
        <f t="shared" si="39"/>
        <v>6.1419802519351356E-2</v>
      </c>
      <c r="J80" s="7">
        <f t="shared" si="40"/>
        <v>0.32245521123353676</v>
      </c>
      <c r="K80" s="6">
        <f t="shared" si="41"/>
        <v>0.1</v>
      </c>
      <c r="L80" s="32">
        <f t="shared" si="42"/>
        <v>3.3559823754916465E-2</v>
      </c>
      <c r="M80" s="7">
        <f t="shared" si="43"/>
        <v>0.26229670611635653</v>
      </c>
      <c r="N80" s="6">
        <f t="shared" si="44"/>
        <v>4.9999999999999989E-2</v>
      </c>
      <c r="O80" s="32">
        <f t="shared" si="45"/>
        <v>-0.13489638233867562</v>
      </c>
      <c r="P80" s="7">
        <f t="shared" si="46"/>
        <v>0.23481097613800309</v>
      </c>
      <c r="Q80" s="7" t="str">
        <f t="shared" si="47"/>
        <v>PASS</v>
      </c>
    </row>
    <row r="81" spans="2:17">
      <c r="B81" s="12">
        <v>4</v>
      </c>
      <c r="C81" s="13">
        <f t="shared" si="36"/>
        <v>16</v>
      </c>
      <c r="D81" s="1"/>
      <c r="E81" s="12">
        <v>2</v>
      </c>
      <c r="F81" s="13">
        <f t="shared" si="37"/>
        <v>18</v>
      </c>
      <c r="G81" s="2"/>
      <c r="H81" s="6">
        <f t="shared" si="38"/>
        <v>0.2</v>
      </c>
      <c r="I81" s="32">
        <f t="shared" si="39"/>
        <v>9.2900237075401015E-2</v>
      </c>
      <c r="J81" s="7">
        <f t="shared" si="40"/>
        <v>0.37899326055910226</v>
      </c>
      <c r="K81" s="6">
        <f t="shared" si="41"/>
        <v>0.1</v>
      </c>
      <c r="L81" s="32">
        <f t="shared" si="42"/>
        <v>3.3559823754916465E-2</v>
      </c>
      <c r="M81" s="7">
        <f t="shared" si="43"/>
        <v>0.26229670611635653</v>
      </c>
      <c r="N81" s="6">
        <f t="shared" si="44"/>
        <v>0.1</v>
      </c>
      <c r="O81" s="32">
        <f t="shared" si="45"/>
        <v>-9.4449427961936422E-2</v>
      </c>
      <c r="P81" s="7">
        <f t="shared" si="46"/>
        <v>0.29092638462259857</v>
      </c>
      <c r="Q81" s="7" t="str">
        <f t="shared" si="47"/>
        <v>PASS</v>
      </c>
    </row>
    <row r="82" spans="2:17">
      <c r="B82" s="12">
        <v>5</v>
      </c>
      <c r="C82" s="13">
        <f t="shared" si="36"/>
        <v>15</v>
      </c>
      <c r="D82" s="1"/>
      <c r="E82" s="12">
        <v>2</v>
      </c>
      <c r="F82" s="13">
        <f t="shared" si="37"/>
        <v>18</v>
      </c>
      <c r="G82" s="2"/>
      <c r="H82" s="6">
        <f t="shared" si="38"/>
        <v>0.25</v>
      </c>
      <c r="I82" s="32">
        <f t="shared" si="39"/>
        <v>0.12710822188096477</v>
      </c>
      <c r="J82" s="7">
        <f t="shared" si="40"/>
        <v>0.43280375963515361</v>
      </c>
      <c r="K82" s="6">
        <f t="shared" si="41"/>
        <v>0.1</v>
      </c>
      <c r="L82" s="32">
        <f t="shared" si="42"/>
        <v>3.3559823754916465E-2</v>
      </c>
      <c r="M82" s="7">
        <f t="shared" si="43"/>
        <v>0.26229670611635653</v>
      </c>
      <c r="N82" s="6">
        <f t="shared" si="44"/>
        <v>0.15</v>
      </c>
      <c r="O82" s="32">
        <f t="shared" si="45"/>
        <v>-5.3574580794059801E-2</v>
      </c>
      <c r="P82" s="7">
        <f t="shared" si="46"/>
        <v>0.34450324304809105</v>
      </c>
      <c r="Q82" s="7" t="str">
        <f t="shared" si="47"/>
        <v>PASS</v>
      </c>
    </row>
    <row r="83" spans="2:17">
      <c r="B83" s="12">
        <v>6</v>
      </c>
      <c r="C83" s="13">
        <f t="shared" si="36"/>
        <v>14</v>
      </c>
      <c r="D83" s="1"/>
      <c r="E83" s="12">
        <v>2</v>
      </c>
      <c r="F83" s="13">
        <f t="shared" si="37"/>
        <v>18</v>
      </c>
      <c r="G83" s="2"/>
      <c r="H83" s="6">
        <f t="shared" si="38"/>
        <v>0.3</v>
      </c>
      <c r="I83" s="32">
        <f t="shared" si="39"/>
        <v>0.16354304302976813</v>
      </c>
      <c r="J83" s="7">
        <f t="shared" si="40"/>
        <v>0.48438742236796539</v>
      </c>
      <c r="K83" s="6">
        <f t="shared" si="41"/>
        <v>0.1</v>
      </c>
      <c r="L83" s="32">
        <f t="shared" si="42"/>
        <v>3.3559823754916465E-2</v>
      </c>
      <c r="M83" s="7">
        <f t="shared" si="43"/>
        <v>0.26229670611635653</v>
      </c>
      <c r="N83" s="6">
        <f t="shared" si="44"/>
        <v>0.19999999999999998</v>
      </c>
      <c r="O83" s="32">
        <f t="shared" si="45"/>
        <v>-1.203943482709699E-2</v>
      </c>
      <c r="P83" s="7">
        <f t="shared" si="46"/>
        <v>0.39599239410492493</v>
      </c>
      <c r="Q83" s="7" t="str">
        <f t="shared" si="47"/>
        <v>PASS</v>
      </c>
    </row>
    <row r="84" spans="2:17">
      <c r="B84" s="12">
        <v>7</v>
      </c>
      <c r="C84" s="13">
        <f t="shared" si="36"/>
        <v>13</v>
      </c>
      <c r="D84" s="1"/>
      <c r="E84" s="12">
        <v>2</v>
      </c>
      <c r="F84" s="13">
        <f t="shared" si="37"/>
        <v>18</v>
      </c>
      <c r="G84" s="2"/>
      <c r="H84" s="6">
        <f t="shared" si="38"/>
        <v>0.35</v>
      </c>
      <c r="I84" s="32">
        <f t="shared" si="39"/>
        <v>0.20189973247796225</v>
      </c>
      <c r="J84" s="7">
        <f t="shared" si="40"/>
        <v>0.53404921680138639</v>
      </c>
      <c r="K84" s="6">
        <f t="shared" si="41"/>
        <v>0.1</v>
      </c>
      <c r="L84" s="32">
        <f t="shared" si="42"/>
        <v>3.3559823754916465E-2</v>
      </c>
      <c r="M84" s="7">
        <f t="shared" si="43"/>
        <v>0.26229670611635653</v>
      </c>
      <c r="N84" s="6">
        <f t="shared" si="44"/>
        <v>0.24999999999999997</v>
      </c>
      <c r="O84" s="32">
        <f t="shared" si="45"/>
        <v>3.0286754936535182E-2</v>
      </c>
      <c r="P84" s="7">
        <f t="shared" si="46"/>
        <v>0.44567424772994912</v>
      </c>
      <c r="Q84" s="7" t="str">
        <f t="shared" si="47"/>
        <v>FAIL</v>
      </c>
    </row>
    <row r="85" spans="2:17">
      <c r="B85" s="12">
        <v>8</v>
      </c>
      <c r="C85" s="13">
        <f t="shared" si="36"/>
        <v>12</v>
      </c>
      <c r="D85" s="1"/>
      <c r="E85" s="12">
        <v>2</v>
      </c>
      <c r="F85" s="13">
        <f t="shared" si="37"/>
        <v>18</v>
      </c>
      <c r="G85" s="2"/>
      <c r="H85" s="6">
        <f t="shared" si="38"/>
        <v>0.4</v>
      </c>
      <c r="I85" s="32">
        <f t="shared" si="39"/>
        <v>0.24198647075497337</v>
      </c>
      <c r="J85" s="7">
        <f t="shared" si="40"/>
        <v>0.5819809624059904</v>
      </c>
      <c r="K85" s="6">
        <f t="shared" si="41"/>
        <v>0.1</v>
      </c>
      <c r="L85" s="32">
        <f t="shared" si="42"/>
        <v>3.3559823754916465E-2</v>
      </c>
      <c r="M85" s="7">
        <f t="shared" si="43"/>
        <v>0.26229670611635653</v>
      </c>
      <c r="N85" s="6">
        <f t="shared" si="44"/>
        <v>0.30000000000000004</v>
      </c>
      <c r="O85" s="32">
        <f t="shared" si="45"/>
        <v>7.3486211808888174E-2</v>
      </c>
      <c r="P85" s="7">
        <f t="shared" si="46"/>
        <v>0.49373014142793648</v>
      </c>
      <c r="Q85" s="7" t="str">
        <f t="shared" si="47"/>
        <v>FAIL</v>
      </c>
    </row>
    <row r="86" spans="2:17">
      <c r="B86" s="12">
        <v>9</v>
      </c>
      <c r="C86" s="13">
        <f t="shared" si="36"/>
        <v>11</v>
      </c>
      <c r="D86" s="1"/>
      <c r="E86" s="12">
        <v>2</v>
      </c>
      <c r="F86" s="13">
        <f t="shared" si="37"/>
        <v>18</v>
      </c>
      <c r="G86" s="2"/>
      <c r="H86" s="6">
        <f t="shared" si="38"/>
        <v>0.45</v>
      </c>
      <c r="I86" s="32">
        <f t="shared" si="39"/>
        <v>0.28368506621578338</v>
      </c>
      <c r="J86" s="7">
        <f t="shared" si="40"/>
        <v>0.62830085082679554</v>
      </c>
      <c r="K86" s="6">
        <f t="shared" si="41"/>
        <v>0.1</v>
      </c>
      <c r="L86" s="32">
        <f t="shared" si="42"/>
        <v>3.3559823754916465E-2</v>
      </c>
      <c r="M86" s="7">
        <f t="shared" si="43"/>
        <v>0.26229670611635653</v>
      </c>
      <c r="N86" s="6">
        <f t="shared" si="44"/>
        <v>0.35</v>
      </c>
      <c r="O86" s="32">
        <f t="shared" si="45"/>
        <v>0.11761911004588316</v>
      </c>
      <c r="P86" s="7">
        <f t="shared" si="46"/>
        <v>0.54027740387402012</v>
      </c>
      <c r="Q86" s="7" t="str">
        <f t="shared" si="47"/>
        <v>FAIL</v>
      </c>
    </row>
    <row r="87" spans="2:17">
      <c r="B87" s="12">
        <v>10</v>
      </c>
      <c r="C87" s="13">
        <f t="shared" si="36"/>
        <v>10</v>
      </c>
      <c r="D87" s="1"/>
      <c r="E87" s="12">
        <v>2</v>
      </c>
      <c r="F87" s="13">
        <f t="shared" si="37"/>
        <v>18</v>
      </c>
      <c r="G87" s="2"/>
      <c r="H87" s="6">
        <f t="shared" si="38"/>
        <v>0.5</v>
      </c>
      <c r="I87" s="32">
        <f t="shared" si="39"/>
        <v>0.32693094787634341</v>
      </c>
      <c r="J87" s="7">
        <f t="shared" si="40"/>
        <v>0.6730734530478506</v>
      </c>
      <c r="K87" s="6">
        <f t="shared" si="41"/>
        <v>0.1</v>
      </c>
      <c r="L87" s="32">
        <f t="shared" si="42"/>
        <v>3.3559823754916465E-2</v>
      </c>
      <c r="M87" s="7">
        <f t="shared" si="43"/>
        <v>0.26229670611635653</v>
      </c>
      <c r="N87" s="6">
        <f t="shared" si="44"/>
        <v>0.4</v>
      </c>
      <c r="O87" s="32">
        <f t="shared" si="45"/>
        <v>0.16273829297756465</v>
      </c>
      <c r="P87" s="7">
        <f t="shared" si="46"/>
        <v>0.58538801786896677</v>
      </c>
      <c r="Q87" s="7" t="str">
        <f t="shared" si="47"/>
        <v>FAIL</v>
      </c>
    </row>
    <row r="88" spans="2:17">
      <c r="B88" s="12">
        <v>11</v>
      </c>
      <c r="C88" s="13">
        <f t="shared" si="36"/>
        <v>9</v>
      </c>
      <c r="D88" s="1"/>
      <c r="E88" s="12">
        <v>2</v>
      </c>
      <c r="F88" s="13">
        <f t="shared" si="37"/>
        <v>18</v>
      </c>
      <c r="G88" s="2"/>
      <c r="H88" s="6">
        <f t="shared" si="38"/>
        <v>0.55000000000000004</v>
      </c>
      <c r="I88" s="32">
        <f t="shared" si="39"/>
        <v>0.37170355009739847</v>
      </c>
      <c r="J88" s="7">
        <f t="shared" si="40"/>
        <v>0.71631933470841069</v>
      </c>
      <c r="K88" s="6">
        <f t="shared" si="41"/>
        <v>0.1</v>
      </c>
      <c r="L88" s="32">
        <f t="shared" si="42"/>
        <v>3.3559823754916465E-2</v>
      </c>
      <c r="M88" s="7">
        <f t="shared" si="43"/>
        <v>0.26229670611635653</v>
      </c>
      <c r="N88" s="6">
        <f t="shared" si="44"/>
        <v>0.45000000000000007</v>
      </c>
      <c r="O88" s="32">
        <f t="shared" si="45"/>
        <v>0.20889868340448683</v>
      </c>
      <c r="P88" s="7">
        <f t="shared" si="46"/>
        <v>0.62909890596350981</v>
      </c>
      <c r="Q88" s="7" t="str">
        <f t="shared" si="47"/>
        <v>FAIL</v>
      </c>
    </row>
    <row r="89" spans="2:17">
      <c r="B89" s="12">
        <v>12</v>
      </c>
      <c r="C89" s="13">
        <f t="shared" si="36"/>
        <v>8</v>
      </c>
      <c r="D89" s="1"/>
      <c r="E89" s="12">
        <v>2</v>
      </c>
      <c r="F89" s="13">
        <f t="shared" si="37"/>
        <v>18</v>
      </c>
      <c r="G89" s="2"/>
      <c r="H89" s="6">
        <f t="shared" si="38"/>
        <v>0.6</v>
      </c>
      <c r="I89" s="32">
        <f t="shared" si="39"/>
        <v>0.41802343851820367</v>
      </c>
      <c r="J89" s="7">
        <f t="shared" si="40"/>
        <v>0.75801793016922059</v>
      </c>
      <c r="K89" s="6">
        <f t="shared" si="41"/>
        <v>0.1</v>
      </c>
      <c r="L89" s="32">
        <f t="shared" si="42"/>
        <v>3.3559823754916465E-2</v>
      </c>
      <c r="M89" s="7">
        <f t="shared" si="43"/>
        <v>0.26229670611635653</v>
      </c>
      <c r="N89" s="6">
        <f t="shared" si="44"/>
        <v>0.5</v>
      </c>
      <c r="O89" s="32">
        <f t="shared" si="45"/>
        <v>0.25616462573088994</v>
      </c>
      <c r="P89" s="7">
        <f t="shared" si="46"/>
        <v>0.6714175115746418</v>
      </c>
      <c r="Q89" s="7" t="str">
        <f t="shared" si="47"/>
        <v>FAIL</v>
      </c>
    </row>
    <row r="90" spans="2:17">
      <c r="B90" s="12">
        <v>13</v>
      </c>
      <c r="C90" s="13">
        <f t="shared" si="36"/>
        <v>7</v>
      </c>
      <c r="D90" s="1"/>
      <c r="E90" s="12">
        <v>2</v>
      </c>
      <c r="F90" s="13">
        <f t="shared" si="37"/>
        <v>18</v>
      </c>
      <c r="G90" s="2"/>
      <c r="H90" s="6">
        <f t="shared" si="38"/>
        <v>0.65</v>
      </c>
      <c r="I90" s="32">
        <f t="shared" si="39"/>
        <v>0.46595518412280768</v>
      </c>
      <c r="J90" s="7">
        <f t="shared" si="40"/>
        <v>0.79810466844623185</v>
      </c>
      <c r="K90" s="6">
        <f t="shared" si="41"/>
        <v>0.1</v>
      </c>
      <c r="L90" s="32">
        <f t="shared" si="42"/>
        <v>3.3559823754916465E-2</v>
      </c>
      <c r="M90" s="7">
        <f t="shared" si="43"/>
        <v>0.26229670611635653</v>
      </c>
      <c r="N90" s="6">
        <f t="shared" si="44"/>
        <v>0.55000000000000004</v>
      </c>
      <c r="O90" s="32">
        <f t="shared" si="45"/>
        <v>0.30461720706722606</v>
      </c>
      <c r="P90" s="7">
        <f t="shared" si="46"/>
        <v>0.71232464333873047</v>
      </c>
      <c r="Q90" s="7" t="str">
        <f t="shared" si="47"/>
        <v>FAIL</v>
      </c>
    </row>
    <row r="91" spans="2:17">
      <c r="B91" s="12">
        <v>14</v>
      </c>
      <c r="C91" s="13">
        <f t="shared" si="36"/>
        <v>6</v>
      </c>
      <c r="D91" s="1"/>
      <c r="E91" s="12">
        <v>2</v>
      </c>
      <c r="F91" s="13">
        <f t="shared" si="37"/>
        <v>18</v>
      </c>
      <c r="G91" s="2"/>
      <c r="H91" s="6">
        <f t="shared" si="38"/>
        <v>0.7</v>
      </c>
      <c r="I91" s="32">
        <f t="shared" si="39"/>
        <v>0.51561697855622868</v>
      </c>
      <c r="J91" s="7">
        <f t="shared" si="40"/>
        <v>0.83646135789442599</v>
      </c>
      <c r="K91" s="6">
        <f t="shared" si="41"/>
        <v>0.1</v>
      </c>
      <c r="L91" s="32">
        <f t="shared" si="42"/>
        <v>3.3559823754916465E-2</v>
      </c>
      <c r="M91" s="7">
        <f t="shared" si="43"/>
        <v>0.26229670611635653</v>
      </c>
      <c r="N91" s="6">
        <f t="shared" si="44"/>
        <v>0.6</v>
      </c>
      <c r="O91" s="32">
        <f t="shared" si="45"/>
        <v>0.3543634403983128</v>
      </c>
      <c r="P91" s="7">
        <f t="shared" si="46"/>
        <v>0.75177614838263751</v>
      </c>
      <c r="Q91" s="7" t="str">
        <f t="shared" si="47"/>
        <v>FAIL</v>
      </c>
    </row>
    <row r="92" spans="2:17">
      <c r="B92" s="12">
        <v>15</v>
      </c>
      <c r="C92" s="13">
        <f t="shared" si="36"/>
        <v>5</v>
      </c>
      <c r="D92" s="1"/>
      <c r="E92" s="12">
        <v>2</v>
      </c>
      <c r="F92" s="13">
        <f t="shared" si="37"/>
        <v>18</v>
      </c>
      <c r="G92" s="2"/>
      <c r="H92" s="6">
        <f t="shared" si="38"/>
        <v>0.75</v>
      </c>
      <c r="I92" s="32">
        <f t="shared" si="39"/>
        <v>0.56720064128904046</v>
      </c>
      <c r="J92" s="7">
        <f t="shared" si="40"/>
        <v>0.87289617904322925</v>
      </c>
      <c r="K92" s="6">
        <f t="shared" si="41"/>
        <v>0.1</v>
      </c>
      <c r="L92" s="32">
        <f t="shared" si="42"/>
        <v>3.3559823754916465E-2</v>
      </c>
      <c r="M92" s="7">
        <f t="shared" si="43"/>
        <v>0.26229670611635653</v>
      </c>
      <c r="N92" s="6">
        <f t="shared" si="44"/>
        <v>0.65</v>
      </c>
      <c r="O92" s="32">
        <f t="shared" si="45"/>
        <v>0.40554995119379289</v>
      </c>
      <c r="P92" s="7">
        <f t="shared" si="46"/>
        <v>0.78970600503522825</v>
      </c>
      <c r="Q92" s="7" t="str">
        <f t="shared" si="47"/>
        <v>FAIL</v>
      </c>
    </row>
    <row r="93" spans="2:17">
      <c r="B93" s="12">
        <v>16</v>
      </c>
      <c r="C93" s="13">
        <f t="shared" si="36"/>
        <v>4</v>
      </c>
      <c r="D93" s="1"/>
      <c r="E93" s="12">
        <v>2</v>
      </c>
      <c r="F93" s="13">
        <f t="shared" si="37"/>
        <v>18</v>
      </c>
      <c r="G93" s="2"/>
      <c r="H93" s="6">
        <f t="shared" si="38"/>
        <v>0.8</v>
      </c>
      <c r="I93" s="32">
        <f t="shared" si="39"/>
        <v>0.62101114036509186</v>
      </c>
      <c r="J93" s="7">
        <f t="shared" si="40"/>
        <v>0.907104163848793</v>
      </c>
      <c r="K93" s="6">
        <f t="shared" si="41"/>
        <v>0.1</v>
      </c>
      <c r="L93" s="32">
        <f t="shared" si="42"/>
        <v>3.3559823754916465E-2</v>
      </c>
      <c r="M93" s="7">
        <f t="shared" si="43"/>
        <v>0.26229670611635653</v>
      </c>
      <c r="N93" s="6">
        <f t="shared" si="44"/>
        <v>0.70000000000000007</v>
      </c>
      <c r="O93" s="32">
        <f t="shared" si="45"/>
        <v>0.45838619102041411</v>
      </c>
      <c r="P93" s="7">
        <f t="shared" si="46"/>
        <v>0.82603808524897093</v>
      </c>
      <c r="Q93" s="7" t="str">
        <f t="shared" si="47"/>
        <v>FAIL</v>
      </c>
    </row>
    <row r="94" spans="2:17">
      <c r="B94" s="12">
        <v>17</v>
      </c>
      <c r="C94" s="13">
        <f t="shared" si="36"/>
        <v>3</v>
      </c>
      <c r="D94" s="1"/>
      <c r="E94" s="12">
        <v>2</v>
      </c>
      <c r="F94" s="13">
        <f t="shared" si="37"/>
        <v>18</v>
      </c>
      <c r="G94" s="2"/>
      <c r="H94" s="6">
        <f t="shared" si="38"/>
        <v>0.85</v>
      </c>
      <c r="I94" s="32">
        <f t="shared" si="39"/>
        <v>0.67754918969065736</v>
      </c>
      <c r="J94" s="7">
        <f t="shared" si="40"/>
        <v>0.93858459840484276</v>
      </c>
      <c r="K94" s="6">
        <f t="shared" si="41"/>
        <v>0.1</v>
      </c>
      <c r="L94" s="32">
        <f t="shared" si="42"/>
        <v>3.3559823754916465E-2</v>
      </c>
      <c r="M94" s="7">
        <f t="shared" si="43"/>
        <v>0.26229670611635653</v>
      </c>
      <c r="N94" s="6">
        <f t="shared" si="44"/>
        <v>0.75</v>
      </c>
      <c r="O94" s="32">
        <f t="shared" si="45"/>
        <v>0.51318888794533346</v>
      </c>
      <c r="P94" s="7">
        <f t="shared" si="46"/>
        <v>0.8607317844795479</v>
      </c>
      <c r="Q94" s="7" t="str">
        <f t="shared" si="47"/>
        <v>FAIL</v>
      </c>
    </row>
    <row r="95" spans="2:17">
      <c r="B95" s="12">
        <v>18</v>
      </c>
      <c r="C95" s="13">
        <f t="shared" si="36"/>
        <v>2</v>
      </c>
      <c r="D95" s="1"/>
      <c r="E95" s="12">
        <v>2</v>
      </c>
      <c r="F95" s="13">
        <f t="shared" si="37"/>
        <v>18</v>
      </c>
      <c r="G95" s="2"/>
      <c r="H95" s="6">
        <f t="shared" si="38"/>
        <v>0.9</v>
      </c>
      <c r="I95" s="32">
        <f t="shared" si="39"/>
        <v>0.7377076948078376</v>
      </c>
      <c r="J95" s="7">
        <f t="shared" si="40"/>
        <v>0.96644457716927756</v>
      </c>
      <c r="K95" s="6">
        <f t="shared" si="41"/>
        <v>0.1</v>
      </c>
      <c r="L95" s="32">
        <f t="shared" si="42"/>
        <v>3.3559823754916465E-2</v>
      </c>
      <c r="M95" s="7">
        <f t="shared" si="43"/>
        <v>0.26229670611635653</v>
      </c>
      <c r="N95" s="6">
        <f t="shared" si="44"/>
        <v>0.8</v>
      </c>
      <c r="O95" s="32">
        <f t="shared" si="45"/>
        <v>0.57048090898401294</v>
      </c>
      <c r="P95" s="7">
        <f t="shared" si="46"/>
        <v>0.89396371030712785</v>
      </c>
      <c r="Q95" s="7" t="str">
        <f t="shared" si="47"/>
        <v>FAIL</v>
      </c>
    </row>
    <row r="96" spans="2:17">
      <c r="B96" s="12">
        <v>19</v>
      </c>
      <c r="C96" s="13">
        <f t="shared" si="36"/>
        <v>1</v>
      </c>
      <c r="D96" s="1"/>
      <c r="E96" s="12">
        <v>2</v>
      </c>
      <c r="F96" s="13">
        <f t="shared" si="37"/>
        <v>18</v>
      </c>
      <c r="G96" s="2"/>
      <c r="H96" s="6">
        <f t="shared" si="38"/>
        <v>0.95</v>
      </c>
      <c r="I96" s="32">
        <f t="shared" si="39"/>
        <v>0.80335937249454403</v>
      </c>
      <c r="J96" s="7">
        <f t="shared" si="40"/>
        <v>0.98881138336418628</v>
      </c>
      <c r="K96" s="6">
        <f t="shared" si="41"/>
        <v>0.1</v>
      </c>
      <c r="L96" s="32">
        <f t="shared" si="42"/>
        <v>3.3559823754916465E-2</v>
      </c>
      <c r="M96" s="7">
        <f t="shared" si="43"/>
        <v>0.26229670611635653</v>
      </c>
      <c r="N96" s="6">
        <f t="shared" si="44"/>
        <v>0.85</v>
      </c>
      <c r="O96" s="32">
        <f t="shared" si="45"/>
        <v>0.6312679848503816</v>
      </c>
      <c r="P96" s="7">
        <f t="shared" si="46"/>
        <v>0.92694556841118014</v>
      </c>
      <c r="Q96" s="7" t="str">
        <f t="shared" si="47"/>
        <v>FAIL</v>
      </c>
    </row>
    <row r="97" spans="2:17" ht="15" thickBot="1">
      <c r="B97" s="15">
        <v>20</v>
      </c>
      <c r="C97" s="14">
        <f t="shared" si="36"/>
        <v>0</v>
      </c>
      <c r="D97" s="1"/>
      <c r="E97" s="15">
        <v>2</v>
      </c>
      <c r="F97" s="14">
        <f t="shared" si="37"/>
        <v>18</v>
      </c>
      <c r="G97" s="2"/>
      <c r="H97" s="8">
        <f t="shared" si="38"/>
        <v>1</v>
      </c>
      <c r="I97" s="16">
        <f t="shared" si="39"/>
        <v>0.88018813951940023</v>
      </c>
      <c r="J97" s="9">
        <f t="shared" si="40"/>
        <v>1.0000011002209452</v>
      </c>
      <c r="K97" s="8">
        <f t="shared" si="41"/>
        <v>0.1</v>
      </c>
      <c r="L97" s="16">
        <f t="shared" si="42"/>
        <v>3.3559823754916465E-2</v>
      </c>
      <c r="M97" s="9">
        <f t="shared" si="43"/>
        <v>0.26229670611635653</v>
      </c>
      <c r="N97" s="8">
        <f t="shared" si="44"/>
        <v>0.9</v>
      </c>
      <c r="O97" s="16">
        <f t="shared" si="45"/>
        <v>0.69826972778474294</v>
      </c>
      <c r="P97" s="9">
        <f t="shared" si="46"/>
        <v>0.96644017625419321</v>
      </c>
      <c r="Q97" s="9" t="str">
        <f t="shared" si="47"/>
        <v>FAIL</v>
      </c>
    </row>
    <row r="98" spans="2:17" ht="15" thickBot="1"/>
    <row r="99" spans="2:17">
      <c r="B99" s="3">
        <v>0</v>
      </c>
      <c r="C99" s="11">
        <f>20-B99</f>
        <v>20</v>
      </c>
      <c r="D99" s="1"/>
      <c r="E99" s="3">
        <v>3</v>
      </c>
      <c r="F99" s="11">
        <f>20-E99</f>
        <v>17</v>
      </c>
      <c r="G99" s="2"/>
      <c r="H99" s="5">
        <f>B99/SUM(B99:C99)</f>
        <v>0</v>
      </c>
      <c r="I99" s="41">
        <f>((B99+1.3613)-(1.65*SQRT(B99-(B99^2/SUM(B99:C99))+0.6806)))/(SUM(B99:C99)+2.7225)</f>
        <v>3.3007032488877747E-6</v>
      </c>
      <c r="J99" s="4">
        <f>((B99+1.3613)+(1.65*SQRT(B99-(B99^2/SUM(B99:C99))+0.6806)))/(SUM(B99:C99)+2.7225)</f>
        <v>0.1198162614047938</v>
      </c>
      <c r="K99" s="5">
        <f>E99/SUM(E99:F99)</f>
        <v>0.15</v>
      </c>
      <c r="L99" s="41">
        <f>((E99+1.3613)-(1.65*SQRT(E99-(E99^2/SUM(E99:F99))+0.6806)))/(SUM(E99:F99)+2.7225)</f>
        <v>6.1419802519351356E-2</v>
      </c>
      <c r="M99" s="4">
        <f>((E99+1.3613)+(1.65*SQRT(E99-(E99^2/SUM(E99:F99))+0.6806)))/(SUM(E99:F99)+2.7225)</f>
        <v>0.32245521123353676</v>
      </c>
      <c r="N99" s="5">
        <f>H99-K99</f>
        <v>-0.15</v>
      </c>
      <c r="O99" s="41">
        <f>N99-SQRT((H99-I99)^2+(K99-M99)^2)</f>
        <v>-0.32245521126512366</v>
      </c>
      <c r="P99" s="4">
        <f>N99+SQRT((H99-J99)^2+(K99-L99)^2)</f>
        <v>-9.9534274817919544E-4</v>
      </c>
      <c r="Q99" s="4" t="str">
        <f>IF(O99*P99&lt;0,"PASS","FAIL")</f>
        <v>FAIL</v>
      </c>
    </row>
    <row r="100" spans="2:17">
      <c r="B100" s="12">
        <v>1</v>
      </c>
      <c r="C100" s="13">
        <f t="shared" ref="C100:C119" si="48">20-B100</f>
        <v>19</v>
      </c>
      <c r="D100" s="1"/>
      <c r="E100" s="12">
        <v>3</v>
      </c>
      <c r="F100" s="13">
        <f t="shared" ref="F100:F119" si="49">20-E100</f>
        <v>17</v>
      </c>
      <c r="G100" s="2"/>
      <c r="H100" s="6">
        <f t="shared" ref="H100:H119" si="50">B100/SUM(B100:C100)</f>
        <v>0.05</v>
      </c>
      <c r="I100" s="32">
        <f t="shared" ref="I100:I119" si="51">((B100+1.3613)-(1.65*SQRT(B100-(B100^2/SUM(B100:C100))+0.6806)))/(SUM(B100:C100)+2.7225)</f>
        <v>1.1193017560007713E-2</v>
      </c>
      <c r="J100" s="7">
        <f t="shared" ref="J100:J119" si="52">((B100+1.3613)+(1.65*SQRT(B100-(B100^2/SUM(B100:C100))+0.6806)))/(SUM(B100:C100)+2.7225)</f>
        <v>0.19664502842965012</v>
      </c>
      <c r="K100" s="6">
        <f t="shared" ref="K100:K119" si="53">E100/SUM(E100:F100)</f>
        <v>0.15</v>
      </c>
      <c r="L100" s="32">
        <f t="shared" ref="L100:L119" si="54">((E100+1.3613)-(1.65*SQRT(E100-(E100^2/SUM(E100:F100))+0.6806)))/(SUM(E100:F100)+2.7225)</f>
        <v>6.1419802519351356E-2</v>
      </c>
      <c r="M100" s="7">
        <f t="shared" ref="M100:M119" si="55">((E100+1.3613)+(1.65*SQRT(E100-(E100^2/SUM(E100:F100))+0.6806)))/(SUM(E100:F100)+2.7225)</f>
        <v>0.32245521123353676</v>
      </c>
      <c r="N100" s="6">
        <f t="shared" ref="N100:N119" si="56">H100-K100</f>
        <v>-9.9999999999999992E-2</v>
      </c>
      <c r="O100" s="32">
        <f t="shared" ref="O100:O119" si="57">N100-SQRT((H100-I100)^2+(K100-M100)^2)</f>
        <v>-0.27676759252674582</v>
      </c>
      <c r="P100" s="7">
        <f t="shared" ref="P100:P119" si="58">N100+SQRT((H100-J100)^2+(K100-L100)^2)</f>
        <v>7.1321965167469401E-2</v>
      </c>
      <c r="Q100" s="7" t="str">
        <f t="shared" ref="Q100:Q119" si="59">IF(O100*P100&lt;0,"PASS","FAIL")</f>
        <v>PASS</v>
      </c>
    </row>
    <row r="101" spans="2:17">
      <c r="B101" s="12">
        <v>2</v>
      </c>
      <c r="C101" s="13">
        <f t="shared" si="48"/>
        <v>18</v>
      </c>
      <c r="D101" s="1"/>
      <c r="E101" s="12">
        <v>3</v>
      </c>
      <c r="F101" s="13">
        <f t="shared" si="49"/>
        <v>17</v>
      </c>
      <c r="G101" s="2"/>
      <c r="H101" s="6">
        <f t="shared" si="50"/>
        <v>0.1</v>
      </c>
      <c r="I101" s="32">
        <f t="shared" si="51"/>
        <v>3.3559823754916465E-2</v>
      </c>
      <c r="J101" s="7">
        <f t="shared" si="52"/>
        <v>0.26229670611635653</v>
      </c>
      <c r="K101" s="6">
        <f t="shared" si="53"/>
        <v>0.15</v>
      </c>
      <c r="L101" s="32">
        <f t="shared" si="54"/>
        <v>6.1419802519351356E-2</v>
      </c>
      <c r="M101" s="7">
        <f t="shared" si="55"/>
        <v>0.32245521123353676</v>
      </c>
      <c r="N101" s="6">
        <f t="shared" si="56"/>
        <v>-4.9999999999999989E-2</v>
      </c>
      <c r="O101" s="32">
        <f t="shared" si="57"/>
        <v>-0.23481097613800309</v>
      </c>
      <c r="P101" s="7">
        <f t="shared" si="58"/>
        <v>0.13489638233867562</v>
      </c>
      <c r="Q101" s="7" t="str">
        <f t="shared" si="59"/>
        <v>PASS</v>
      </c>
    </row>
    <row r="102" spans="2:17">
      <c r="B102" s="12">
        <v>3</v>
      </c>
      <c r="C102" s="13">
        <f t="shared" si="48"/>
        <v>17</v>
      </c>
      <c r="D102" s="1"/>
      <c r="E102" s="12">
        <v>3</v>
      </c>
      <c r="F102" s="13">
        <f t="shared" si="49"/>
        <v>17</v>
      </c>
      <c r="G102" s="2"/>
      <c r="H102" s="6">
        <f t="shared" si="50"/>
        <v>0.15</v>
      </c>
      <c r="I102" s="32">
        <f t="shared" si="51"/>
        <v>6.1419802519351356E-2</v>
      </c>
      <c r="J102" s="7">
        <f t="shared" si="52"/>
        <v>0.32245521123353676</v>
      </c>
      <c r="K102" s="6">
        <f t="shared" si="53"/>
        <v>0.15</v>
      </c>
      <c r="L102" s="32">
        <f t="shared" si="54"/>
        <v>6.1419802519351356E-2</v>
      </c>
      <c r="M102" s="7">
        <f t="shared" si="55"/>
        <v>0.32245521123353676</v>
      </c>
      <c r="N102" s="6">
        <f t="shared" si="56"/>
        <v>0</v>
      </c>
      <c r="O102" s="32">
        <f t="shared" si="57"/>
        <v>-0.19387431822527321</v>
      </c>
      <c r="P102" s="7">
        <f t="shared" si="58"/>
        <v>0.19387431822527321</v>
      </c>
      <c r="Q102" s="7" t="str">
        <f t="shared" si="59"/>
        <v>PASS</v>
      </c>
    </row>
    <row r="103" spans="2:17">
      <c r="B103" s="12">
        <v>4</v>
      </c>
      <c r="C103" s="13">
        <f t="shared" si="48"/>
        <v>16</v>
      </c>
      <c r="D103" s="1"/>
      <c r="E103" s="12">
        <v>3</v>
      </c>
      <c r="F103" s="13">
        <f t="shared" si="49"/>
        <v>17</v>
      </c>
      <c r="G103" s="2"/>
      <c r="H103" s="6">
        <f t="shared" si="50"/>
        <v>0.2</v>
      </c>
      <c r="I103" s="32">
        <f t="shared" si="51"/>
        <v>9.2900237075401015E-2</v>
      </c>
      <c r="J103" s="7">
        <f t="shared" si="52"/>
        <v>0.37899326055910226</v>
      </c>
      <c r="K103" s="6">
        <f t="shared" si="53"/>
        <v>0.15</v>
      </c>
      <c r="L103" s="32">
        <f t="shared" si="54"/>
        <v>6.1419802519351356E-2</v>
      </c>
      <c r="M103" s="7">
        <f t="shared" si="55"/>
        <v>0.32245521123353676</v>
      </c>
      <c r="N103" s="6">
        <f t="shared" si="56"/>
        <v>5.0000000000000017E-2</v>
      </c>
      <c r="O103" s="32">
        <f t="shared" si="57"/>
        <v>-0.15300531791090866</v>
      </c>
      <c r="P103" s="7">
        <f t="shared" si="58"/>
        <v>0.24971238997941361</v>
      </c>
      <c r="Q103" s="7" t="str">
        <f t="shared" si="59"/>
        <v>PASS</v>
      </c>
    </row>
    <row r="104" spans="2:17">
      <c r="B104" s="12">
        <v>5</v>
      </c>
      <c r="C104" s="13">
        <f t="shared" si="48"/>
        <v>15</v>
      </c>
      <c r="D104" s="1"/>
      <c r="E104" s="12">
        <v>3</v>
      </c>
      <c r="F104" s="13">
        <f t="shared" si="49"/>
        <v>17</v>
      </c>
      <c r="G104" s="2"/>
      <c r="H104" s="6">
        <f t="shared" si="50"/>
        <v>0.25</v>
      </c>
      <c r="I104" s="32">
        <f t="shared" si="51"/>
        <v>0.12710822188096477</v>
      </c>
      <c r="J104" s="7">
        <f t="shared" si="52"/>
        <v>0.43280375963515361</v>
      </c>
      <c r="K104" s="6">
        <f t="shared" si="53"/>
        <v>0.15</v>
      </c>
      <c r="L104" s="32">
        <f t="shared" si="54"/>
        <v>6.1419802519351356E-2</v>
      </c>
      <c r="M104" s="7">
        <f t="shared" si="55"/>
        <v>0.32245521123353676</v>
      </c>
      <c r="N104" s="6">
        <f t="shared" si="56"/>
        <v>0.1</v>
      </c>
      <c r="O104" s="32">
        <f t="shared" si="57"/>
        <v>-0.11176210475640341</v>
      </c>
      <c r="P104" s="7">
        <f t="shared" si="58"/>
        <v>0.30313460050532437</v>
      </c>
      <c r="Q104" s="7" t="str">
        <f t="shared" si="59"/>
        <v>PASS</v>
      </c>
    </row>
    <row r="105" spans="2:17">
      <c r="B105" s="12">
        <v>6</v>
      </c>
      <c r="C105" s="13">
        <f t="shared" si="48"/>
        <v>14</v>
      </c>
      <c r="D105" s="1"/>
      <c r="E105" s="12">
        <v>3</v>
      </c>
      <c r="F105" s="13">
        <f t="shared" si="49"/>
        <v>17</v>
      </c>
      <c r="G105" s="2"/>
      <c r="H105" s="6">
        <f t="shared" si="50"/>
        <v>0.3</v>
      </c>
      <c r="I105" s="32">
        <f t="shared" si="51"/>
        <v>0.16354304302976813</v>
      </c>
      <c r="J105" s="7">
        <f t="shared" si="52"/>
        <v>0.48438742236796539</v>
      </c>
      <c r="K105" s="6">
        <f t="shared" si="53"/>
        <v>0.15</v>
      </c>
      <c r="L105" s="32">
        <f t="shared" si="54"/>
        <v>6.1419802519351356E-2</v>
      </c>
      <c r="M105" s="7">
        <f t="shared" si="55"/>
        <v>0.32245521123353676</v>
      </c>
      <c r="N105" s="6">
        <f t="shared" si="56"/>
        <v>0.15</v>
      </c>
      <c r="O105" s="32">
        <f t="shared" si="57"/>
        <v>-6.9912030110177242E-2</v>
      </c>
      <c r="P105" s="7">
        <f t="shared" si="58"/>
        <v>0.35456092714204535</v>
      </c>
      <c r="Q105" s="7" t="str">
        <f t="shared" si="59"/>
        <v>PASS</v>
      </c>
    </row>
    <row r="106" spans="2:17">
      <c r="B106" s="12">
        <v>7</v>
      </c>
      <c r="C106" s="13">
        <f t="shared" si="48"/>
        <v>13</v>
      </c>
      <c r="D106" s="1"/>
      <c r="E106" s="12">
        <v>3</v>
      </c>
      <c r="F106" s="13">
        <f t="shared" si="49"/>
        <v>17</v>
      </c>
      <c r="G106" s="2"/>
      <c r="H106" s="6">
        <f t="shared" si="50"/>
        <v>0.35</v>
      </c>
      <c r="I106" s="32">
        <f t="shared" si="51"/>
        <v>0.20189973247796225</v>
      </c>
      <c r="J106" s="7">
        <f t="shared" si="52"/>
        <v>0.53404921680138639</v>
      </c>
      <c r="K106" s="6">
        <f t="shared" si="53"/>
        <v>0.15</v>
      </c>
      <c r="L106" s="32">
        <f t="shared" si="54"/>
        <v>6.1419802519351356E-2</v>
      </c>
      <c r="M106" s="7">
        <f t="shared" si="55"/>
        <v>0.32245521123353676</v>
      </c>
      <c r="N106" s="6">
        <f t="shared" si="56"/>
        <v>0.19999999999999998</v>
      </c>
      <c r="O106" s="32">
        <f t="shared" si="57"/>
        <v>-2.7320234738799576E-2</v>
      </c>
      <c r="P106" s="7">
        <f t="shared" si="58"/>
        <v>0.40425612742562811</v>
      </c>
      <c r="Q106" s="7" t="str">
        <f t="shared" si="59"/>
        <v>PASS</v>
      </c>
    </row>
    <row r="107" spans="2:17">
      <c r="B107" s="12">
        <v>8</v>
      </c>
      <c r="C107" s="13">
        <f t="shared" si="48"/>
        <v>12</v>
      </c>
      <c r="D107" s="1"/>
      <c r="E107" s="12">
        <v>3</v>
      </c>
      <c r="F107" s="13">
        <f t="shared" si="49"/>
        <v>17</v>
      </c>
      <c r="G107" s="2"/>
      <c r="H107" s="6">
        <f t="shared" si="50"/>
        <v>0.4</v>
      </c>
      <c r="I107" s="32">
        <f t="shared" si="51"/>
        <v>0.24198647075497337</v>
      </c>
      <c r="J107" s="7">
        <f t="shared" si="52"/>
        <v>0.5819809624059904</v>
      </c>
      <c r="K107" s="6">
        <f t="shared" si="53"/>
        <v>0.15</v>
      </c>
      <c r="L107" s="32">
        <f t="shared" si="54"/>
        <v>6.1419802519351356E-2</v>
      </c>
      <c r="M107" s="7">
        <f t="shared" si="55"/>
        <v>0.32245521123353676</v>
      </c>
      <c r="N107" s="6">
        <f t="shared" si="56"/>
        <v>0.25</v>
      </c>
      <c r="O107" s="32">
        <f t="shared" si="57"/>
        <v>1.6100287930761487E-2</v>
      </c>
      <c r="P107" s="7">
        <f t="shared" si="58"/>
        <v>0.45239447142627487</v>
      </c>
      <c r="Q107" s="7" t="str">
        <f t="shared" si="59"/>
        <v>FAIL</v>
      </c>
    </row>
    <row r="108" spans="2:17">
      <c r="B108" s="12">
        <v>9</v>
      </c>
      <c r="C108" s="13">
        <f t="shared" si="48"/>
        <v>11</v>
      </c>
      <c r="D108" s="1"/>
      <c r="E108" s="12">
        <v>3</v>
      </c>
      <c r="F108" s="13">
        <f t="shared" si="49"/>
        <v>17</v>
      </c>
      <c r="G108" s="2"/>
      <c r="H108" s="6">
        <f t="shared" si="50"/>
        <v>0.45</v>
      </c>
      <c r="I108" s="32">
        <f t="shared" si="51"/>
        <v>0.28368506621578338</v>
      </c>
      <c r="J108" s="7">
        <f t="shared" si="52"/>
        <v>0.62830085082679554</v>
      </c>
      <c r="K108" s="6">
        <f t="shared" si="53"/>
        <v>0.15</v>
      </c>
      <c r="L108" s="32">
        <f t="shared" si="54"/>
        <v>6.1419802519351356E-2</v>
      </c>
      <c r="M108" s="7">
        <f t="shared" si="55"/>
        <v>0.32245521123353676</v>
      </c>
      <c r="N108" s="6">
        <f t="shared" si="56"/>
        <v>0.30000000000000004</v>
      </c>
      <c r="O108" s="32">
        <f t="shared" si="57"/>
        <v>6.0413988135258362E-2</v>
      </c>
      <c r="P108" s="7">
        <f t="shared" si="58"/>
        <v>0.49909205104993498</v>
      </c>
      <c r="Q108" s="7" t="str">
        <f t="shared" si="59"/>
        <v>FAIL</v>
      </c>
    </row>
    <row r="109" spans="2:17">
      <c r="B109" s="12">
        <v>10</v>
      </c>
      <c r="C109" s="13">
        <f t="shared" si="48"/>
        <v>10</v>
      </c>
      <c r="D109" s="1"/>
      <c r="E109" s="12">
        <v>3</v>
      </c>
      <c r="F109" s="13">
        <f t="shared" si="49"/>
        <v>17</v>
      </c>
      <c r="G109" s="2"/>
      <c r="H109" s="6">
        <f t="shared" si="50"/>
        <v>0.5</v>
      </c>
      <c r="I109" s="32">
        <f t="shared" si="51"/>
        <v>0.32693094787634341</v>
      </c>
      <c r="J109" s="7">
        <f t="shared" si="52"/>
        <v>0.6730734530478506</v>
      </c>
      <c r="K109" s="6">
        <f t="shared" si="53"/>
        <v>0.15</v>
      </c>
      <c r="L109" s="32">
        <f t="shared" si="54"/>
        <v>6.1419802519351356E-2</v>
      </c>
      <c r="M109" s="7">
        <f t="shared" si="55"/>
        <v>0.32245521123353676</v>
      </c>
      <c r="N109" s="6">
        <f t="shared" si="56"/>
        <v>0.35</v>
      </c>
      <c r="O109" s="32">
        <f t="shared" si="57"/>
        <v>0.10567706475939523</v>
      </c>
      <c r="P109" s="7">
        <f t="shared" si="58"/>
        <v>0.54442446228707242</v>
      </c>
      <c r="Q109" s="7" t="str">
        <f t="shared" si="59"/>
        <v>FAIL</v>
      </c>
    </row>
    <row r="110" spans="2:17">
      <c r="B110" s="12">
        <v>11</v>
      </c>
      <c r="C110" s="13">
        <f t="shared" si="48"/>
        <v>9</v>
      </c>
      <c r="D110" s="1"/>
      <c r="E110" s="12">
        <v>3</v>
      </c>
      <c r="F110" s="13">
        <f t="shared" si="49"/>
        <v>17</v>
      </c>
      <c r="G110" s="2"/>
      <c r="H110" s="6">
        <f t="shared" si="50"/>
        <v>0.55000000000000004</v>
      </c>
      <c r="I110" s="32">
        <f t="shared" si="51"/>
        <v>0.37170355009739847</v>
      </c>
      <c r="J110" s="7">
        <f t="shared" si="52"/>
        <v>0.71631933470841069</v>
      </c>
      <c r="K110" s="6">
        <f t="shared" si="53"/>
        <v>0.15</v>
      </c>
      <c r="L110" s="32">
        <f t="shared" si="54"/>
        <v>6.1419802519351356E-2</v>
      </c>
      <c r="M110" s="7">
        <f t="shared" si="55"/>
        <v>0.32245521123353676</v>
      </c>
      <c r="N110" s="6">
        <f t="shared" si="56"/>
        <v>0.4</v>
      </c>
      <c r="O110" s="32">
        <f t="shared" si="57"/>
        <v>0.1519467316694362</v>
      </c>
      <c r="P110" s="7">
        <f t="shared" si="58"/>
        <v>0.58843718445030713</v>
      </c>
      <c r="Q110" s="7" t="str">
        <f t="shared" si="59"/>
        <v>FAIL</v>
      </c>
    </row>
    <row r="111" spans="2:17">
      <c r="B111" s="12">
        <v>12</v>
      </c>
      <c r="C111" s="13">
        <f t="shared" si="48"/>
        <v>8</v>
      </c>
      <c r="D111" s="1"/>
      <c r="E111" s="12">
        <v>3</v>
      </c>
      <c r="F111" s="13">
        <f t="shared" si="49"/>
        <v>17</v>
      </c>
      <c r="G111" s="2"/>
      <c r="H111" s="6">
        <f t="shared" si="50"/>
        <v>0.6</v>
      </c>
      <c r="I111" s="32">
        <f t="shared" si="51"/>
        <v>0.41802343851820367</v>
      </c>
      <c r="J111" s="7">
        <f t="shared" si="52"/>
        <v>0.75801793016922059</v>
      </c>
      <c r="K111" s="6">
        <f t="shared" si="53"/>
        <v>0.15</v>
      </c>
      <c r="L111" s="32">
        <f t="shared" si="54"/>
        <v>6.1419802519351356E-2</v>
      </c>
      <c r="M111" s="7">
        <f t="shared" si="55"/>
        <v>0.32245521123353676</v>
      </c>
      <c r="N111" s="6">
        <f t="shared" si="56"/>
        <v>0.44999999999999996</v>
      </c>
      <c r="O111" s="32">
        <f t="shared" si="57"/>
        <v>0.19928847491520896</v>
      </c>
      <c r="P111" s="7">
        <f t="shared" si="58"/>
        <v>0.63115219468909389</v>
      </c>
      <c r="Q111" s="7" t="str">
        <f t="shared" si="59"/>
        <v>FAIL</v>
      </c>
    </row>
    <row r="112" spans="2:17">
      <c r="B112" s="12">
        <v>13</v>
      </c>
      <c r="C112" s="13">
        <f t="shared" si="48"/>
        <v>7</v>
      </c>
      <c r="D112" s="1"/>
      <c r="E112" s="12">
        <v>3</v>
      </c>
      <c r="F112" s="13">
        <f t="shared" si="49"/>
        <v>17</v>
      </c>
      <c r="G112" s="2"/>
      <c r="H112" s="6">
        <f t="shared" si="50"/>
        <v>0.65</v>
      </c>
      <c r="I112" s="32">
        <f t="shared" si="51"/>
        <v>0.46595518412280768</v>
      </c>
      <c r="J112" s="7">
        <f t="shared" si="52"/>
        <v>0.79810466844623185</v>
      </c>
      <c r="K112" s="6">
        <f t="shared" si="53"/>
        <v>0.15</v>
      </c>
      <c r="L112" s="32">
        <f t="shared" si="54"/>
        <v>6.1419802519351356E-2</v>
      </c>
      <c r="M112" s="7">
        <f t="shared" si="55"/>
        <v>0.32245521123353676</v>
      </c>
      <c r="N112" s="6">
        <f t="shared" si="56"/>
        <v>0.5</v>
      </c>
      <c r="O112" s="32">
        <f t="shared" si="57"/>
        <v>0.24778323978594635</v>
      </c>
      <c r="P112" s="7">
        <f t="shared" si="58"/>
        <v>0.67257301121924873</v>
      </c>
      <c r="Q112" s="7" t="str">
        <f t="shared" si="59"/>
        <v>FAIL</v>
      </c>
    </row>
    <row r="113" spans="2:17">
      <c r="B113" s="12">
        <v>14</v>
      </c>
      <c r="C113" s="13">
        <f t="shared" si="48"/>
        <v>6</v>
      </c>
      <c r="D113" s="1"/>
      <c r="E113" s="12">
        <v>3</v>
      </c>
      <c r="F113" s="13">
        <f t="shared" si="49"/>
        <v>17</v>
      </c>
      <c r="G113" s="2"/>
      <c r="H113" s="6">
        <f t="shared" si="50"/>
        <v>0.7</v>
      </c>
      <c r="I113" s="32">
        <f t="shared" si="51"/>
        <v>0.51561697855622868</v>
      </c>
      <c r="J113" s="7">
        <f t="shared" si="52"/>
        <v>0.83646135789442599</v>
      </c>
      <c r="K113" s="6">
        <f t="shared" si="53"/>
        <v>0.15</v>
      </c>
      <c r="L113" s="32">
        <f t="shared" si="54"/>
        <v>6.1419802519351356E-2</v>
      </c>
      <c r="M113" s="7">
        <f t="shared" si="55"/>
        <v>0.32245521123353676</v>
      </c>
      <c r="N113" s="6">
        <f t="shared" si="56"/>
        <v>0.54999999999999993</v>
      </c>
      <c r="O113" s="32">
        <f t="shared" si="57"/>
        <v>0.29753634226222175</v>
      </c>
      <c r="P113" s="7">
        <f t="shared" si="58"/>
        <v>0.71269036106697081</v>
      </c>
      <c r="Q113" s="7" t="str">
        <f t="shared" si="59"/>
        <v>FAIL</v>
      </c>
    </row>
    <row r="114" spans="2:17">
      <c r="B114" s="12">
        <v>15</v>
      </c>
      <c r="C114" s="13">
        <f t="shared" si="48"/>
        <v>5</v>
      </c>
      <c r="D114" s="1"/>
      <c r="E114" s="12">
        <v>3</v>
      </c>
      <c r="F114" s="13">
        <f t="shared" si="49"/>
        <v>17</v>
      </c>
      <c r="G114" s="2"/>
      <c r="H114" s="6">
        <f t="shared" si="50"/>
        <v>0.75</v>
      </c>
      <c r="I114" s="32">
        <f t="shared" si="51"/>
        <v>0.56720064128904046</v>
      </c>
      <c r="J114" s="7">
        <f t="shared" si="52"/>
        <v>0.87289617904322925</v>
      </c>
      <c r="K114" s="6">
        <f t="shared" si="53"/>
        <v>0.15</v>
      </c>
      <c r="L114" s="32">
        <f t="shared" si="54"/>
        <v>6.1419802519351356E-2</v>
      </c>
      <c r="M114" s="7">
        <f t="shared" si="55"/>
        <v>0.32245521123353676</v>
      </c>
      <c r="N114" s="6">
        <f t="shared" si="56"/>
        <v>0.6</v>
      </c>
      <c r="O114" s="32">
        <f t="shared" si="57"/>
        <v>0.34869061810839241</v>
      </c>
      <c r="P114" s="7">
        <f t="shared" si="58"/>
        <v>0.75149231732710464</v>
      </c>
      <c r="Q114" s="7" t="str">
        <f t="shared" si="59"/>
        <v>FAIL</v>
      </c>
    </row>
    <row r="115" spans="2:17">
      <c r="B115" s="12">
        <v>16</v>
      </c>
      <c r="C115" s="13">
        <f t="shared" si="48"/>
        <v>4</v>
      </c>
      <c r="D115" s="1"/>
      <c r="E115" s="12">
        <v>3</v>
      </c>
      <c r="F115" s="13">
        <f t="shared" si="49"/>
        <v>17</v>
      </c>
      <c r="G115" s="2"/>
      <c r="H115" s="6">
        <f t="shared" si="50"/>
        <v>0.8</v>
      </c>
      <c r="I115" s="32">
        <f t="shared" si="51"/>
        <v>0.62101114036509186</v>
      </c>
      <c r="J115" s="7">
        <f t="shared" si="52"/>
        <v>0.907104163848793</v>
      </c>
      <c r="K115" s="6">
        <f t="shared" si="53"/>
        <v>0.15</v>
      </c>
      <c r="L115" s="32">
        <f t="shared" si="54"/>
        <v>6.1419802519351356E-2</v>
      </c>
      <c r="M115" s="7">
        <f t="shared" si="55"/>
        <v>0.32245521123353676</v>
      </c>
      <c r="N115" s="6">
        <f t="shared" si="56"/>
        <v>0.65</v>
      </c>
      <c r="O115" s="32">
        <f t="shared" si="57"/>
        <v>0.40144857321872274</v>
      </c>
      <c r="P115" s="7">
        <f t="shared" si="58"/>
        <v>0.78898832073041181</v>
      </c>
      <c r="Q115" s="7" t="str">
        <f t="shared" si="59"/>
        <v>FAIL</v>
      </c>
    </row>
    <row r="116" spans="2:17">
      <c r="B116" s="12">
        <v>17</v>
      </c>
      <c r="C116" s="13">
        <f t="shared" si="48"/>
        <v>3</v>
      </c>
      <c r="D116" s="1"/>
      <c r="E116" s="12">
        <v>3</v>
      </c>
      <c r="F116" s="13">
        <f t="shared" si="49"/>
        <v>17</v>
      </c>
      <c r="G116" s="2"/>
      <c r="H116" s="6">
        <f t="shared" si="50"/>
        <v>0.85</v>
      </c>
      <c r="I116" s="32">
        <f t="shared" si="51"/>
        <v>0.67754918969065736</v>
      </c>
      <c r="J116" s="7">
        <f t="shared" si="52"/>
        <v>0.93858459840484276</v>
      </c>
      <c r="K116" s="6">
        <f t="shared" si="53"/>
        <v>0.15</v>
      </c>
      <c r="L116" s="32">
        <f t="shared" si="54"/>
        <v>6.1419802519351356E-2</v>
      </c>
      <c r="M116" s="7">
        <f t="shared" si="55"/>
        <v>0.32245521123353676</v>
      </c>
      <c r="N116" s="6">
        <f t="shared" si="56"/>
        <v>0.7</v>
      </c>
      <c r="O116" s="32">
        <f t="shared" si="57"/>
        <v>0.45611461327510278</v>
      </c>
      <c r="P116" s="7">
        <f t="shared" si="58"/>
        <v>0.82527442859681288</v>
      </c>
      <c r="Q116" s="7" t="str">
        <f t="shared" si="59"/>
        <v>FAIL</v>
      </c>
    </row>
    <row r="117" spans="2:17">
      <c r="B117" s="12">
        <v>18</v>
      </c>
      <c r="C117" s="13">
        <f t="shared" si="48"/>
        <v>2</v>
      </c>
      <c r="D117" s="1"/>
      <c r="E117" s="12">
        <v>3</v>
      </c>
      <c r="F117" s="13">
        <f t="shared" si="49"/>
        <v>17</v>
      </c>
      <c r="G117" s="2"/>
      <c r="H117" s="6">
        <f t="shared" si="50"/>
        <v>0.9</v>
      </c>
      <c r="I117" s="32">
        <f t="shared" si="51"/>
        <v>0.7377076948078376</v>
      </c>
      <c r="J117" s="7">
        <f t="shared" si="52"/>
        <v>0.96644457716927756</v>
      </c>
      <c r="K117" s="6">
        <f t="shared" si="53"/>
        <v>0.15</v>
      </c>
      <c r="L117" s="32">
        <f t="shared" si="54"/>
        <v>6.1419802519351356E-2</v>
      </c>
      <c r="M117" s="7">
        <f t="shared" si="55"/>
        <v>0.32245521123353676</v>
      </c>
      <c r="N117" s="6">
        <f t="shared" si="56"/>
        <v>0.75</v>
      </c>
      <c r="O117" s="32">
        <f t="shared" si="57"/>
        <v>0.5131886991586132</v>
      </c>
      <c r="P117" s="7">
        <f t="shared" si="58"/>
        <v>0.86073090454301715</v>
      </c>
      <c r="Q117" s="7" t="str">
        <f t="shared" si="59"/>
        <v>FAIL</v>
      </c>
    </row>
    <row r="118" spans="2:17">
      <c r="B118" s="12">
        <v>19</v>
      </c>
      <c r="C118" s="13">
        <f t="shared" si="48"/>
        <v>1</v>
      </c>
      <c r="D118" s="1"/>
      <c r="E118" s="12">
        <v>3</v>
      </c>
      <c r="F118" s="13">
        <f t="shared" si="49"/>
        <v>17</v>
      </c>
      <c r="G118" s="2"/>
      <c r="H118" s="6">
        <f t="shared" si="50"/>
        <v>0.95</v>
      </c>
      <c r="I118" s="32">
        <f t="shared" si="51"/>
        <v>0.80335937249454403</v>
      </c>
      <c r="J118" s="7">
        <f t="shared" si="52"/>
        <v>0.98881138336418628</v>
      </c>
      <c r="K118" s="6">
        <f t="shared" si="53"/>
        <v>0.15</v>
      </c>
      <c r="L118" s="32">
        <f t="shared" si="54"/>
        <v>6.1419802519351356E-2</v>
      </c>
      <c r="M118" s="7">
        <f t="shared" si="55"/>
        <v>0.32245521123353676</v>
      </c>
      <c r="N118" s="6">
        <f t="shared" si="56"/>
        <v>0.79999999999999993</v>
      </c>
      <c r="O118" s="32">
        <f t="shared" si="57"/>
        <v>0.57362801958546705</v>
      </c>
      <c r="P118" s="7">
        <f t="shared" si="58"/>
        <v>0.89670974544663296</v>
      </c>
      <c r="Q118" s="7" t="str">
        <f t="shared" si="59"/>
        <v>FAIL</v>
      </c>
    </row>
    <row r="119" spans="2:17" ht="15" thickBot="1">
      <c r="B119" s="15">
        <v>20</v>
      </c>
      <c r="C119" s="14">
        <f t="shared" si="48"/>
        <v>0</v>
      </c>
      <c r="D119" s="1"/>
      <c r="E119" s="15">
        <v>3</v>
      </c>
      <c r="F119" s="14">
        <f t="shared" si="49"/>
        <v>17</v>
      </c>
      <c r="G119" s="2"/>
      <c r="H119" s="8">
        <f t="shared" si="50"/>
        <v>1</v>
      </c>
      <c r="I119" s="16">
        <f t="shared" si="51"/>
        <v>0.88018813951940023</v>
      </c>
      <c r="J119" s="9">
        <f t="shared" si="52"/>
        <v>1.0000011002209452</v>
      </c>
      <c r="K119" s="8">
        <f t="shared" si="53"/>
        <v>0.15</v>
      </c>
      <c r="L119" s="16">
        <f t="shared" si="54"/>
        <v>6.1419802519351356E-2</v>
      </c>
      <c r="M119" s="9">
        <f t="shared" si="55"/>
        <v>0.32245521123353676</v>
      </c>
      <c r="N119" s="8">
        <f t="shared" si="56"/>
        <v>0.85</v>
      </c>
      <c r="O119" s="16">
        <f t="shared" si="57"/>
        <v>0.64001028169592089</v>
      </c>
      <c r="P119" s="9">
        <f t="shared" si="58"/>
        <v>0.93858019748748134</v>
      </c>
      <c r="Q119" s="9" t="str">
        <f t="shared" si="59"/>
        <v>FAIL</v>
      </c>
    </row>
    <row r="120" spans="2:17" ht="15" thickBot="1"/>
    <row r="121" spans="2:17">
      <c r="B121" s="3">
        <v>0</v>
      </c>
      <c r="C121" s="11">
        <f>20-B121</f>
        <v>20</v>
      </c>
      <c r="D121" s="1"/>
      <c r="E121" s="3">
        <v>4</v>
      </c>
      <c r="F121" s="11">
        <f>20-E121</f>
        <v>16</v>
      </c>
      <c r="G121" s="2"/>
      <c r="H121" s="5">
        <f>B121/SUM(B121:C121)</f>
        <v>0</v>
      </c>
      <c r="I121" s="41">
        <f>((B121+1.3613)-(1.65*SQRT(B121-(B121^2/SUM(B121:C121))+0.6806)))/(SUM(B121:C121)+2.7225)</f>
        <v>3.3007032488877747E-6</v>
      </c>
      <c r="J121" s="4">
        <f>((B121+1.3613)+(1.65*SQRT(B121-(B121^2/SUM(B121:C121))+0.6806)))/(SUM(B121:C121)+2.7225)</f>
        <v>0.1198162614047938</v>
      </c>
      <c r="K121" s="5">
        <f>E121/SUM(E121:F121)</f>
        <v>0.2</v>
      </c>
      <c r="L121" s="41">
        <f>((E121+1.3613)-(1.65*SQRT(E121-(E121^2/SUM(E121:F121))+0.6806)))/(SUM(E121:F121)+2.7225)</f>
        <v>9.2900237075401015E-2</v>
      </c>
      <c r="M121" s="4">
        <f>((E121+1.3613)+(1.65*SQRT(E121-(E121^2/SUM(E121:F121))+0.6806)))/(SUM(E121:F121)+2.7225)</f>
        <v>0.37899326055910226</v>
      </c>
      <c r="N121" s="5">
        <f>H121-K121</f>
        <v>-0.2</v>
      </c>
      <c r="O121" s="41">
        <f>N121-SQRT((H121-I121)^2+(K121-M121)^2)</f>
        <v>-0.37899326058953536</v>
      </c>
      <c r="P121" s="4">
        <f>N121+SQRT((H121-J121)^2+(K121-L121)^2)</f>
        <v>-3.9294381817164881E-2</v>
      </c>
      <c r="Q121" s="4" t="str">
        <f>IF(O121*P121&lt;0,"PASS","FAIL")</f>
        <v>FAIL</v>
      </c>
    </row>
    <row r="122" spans="2:17">
      <c r="B122" s="12">
        <v>1</v>
      </c>
      <c r="C122" s="13">
        <f t="shared" ref="C122:C141" si="60">20-B122</f>
        <v>19</v>
      </c>
      <c r="D122" s="1"/>
      <c r="E122" s="12">
        <v>4</v>
      </c>
      <c r="F122" s="13">
        <f t="shared" ref="F122:F141" si="61">20-E122</f>
        <v>16</v>
      </c>
      <c r="G122" s="2"/>
      <c r="H122" s="6">
        <f t="shared" ref="H122:H141" si="62">B122/SUM(B122:C122)</f>
        <v>0.05</v>
      </c>
      <c r="I122" s="32">
        <f t="shared" ref="I122:I141" si="63">((B122+1.3613)-(1.65*SQRT(B122-(B122^2/SUM(B122:C122))+0.6806)))/(SUM(B122:C122)+2.7225)</f>
        <v>1.1193017560007713E-2</v>
      </c>
      <c r="J122" s="7">
        <f t="shared" ref="J122:J141" si="64">((B122+1.3613)+(1.65*SQRT(B122-(B122^2/SUM(B122:C122))+0.6806)))/(SUM(B122:C122)+2.7225)</f>
        <v>0.19664502842965012</v>
      </c>
      <c r="K122" s="6">
        <f t="shared" ref="K122:K141" si="65">E122/SUM(E122:F122)</f>
        <v>0.2</v>
      </c>
      <c r="L122" s="32">
        <f t="shared" ref="L122:L141" si="66">((E122+1.3613)-(1.65*SQRT(E122-(E122^2/SUM(E122:F122))+0.6806)))/(SUM(E122:F122)+2.7225)</f>
        <v>9.2900237075401015E-2</v>
      </c>
      <c r="M122" s="7">
        <f t="shared" ref="M122:M141" si="67">((E122+1.3613)+(1.65*SQRT(E122-(E122^2/SUM(E122:F122))+0.6806)))/(SUM(E122:F122)+2.7225)</f>
        <v>0.37899326055910226</v>
      </c>
      <c r="N122" s="6">
        <f t="shared" ref="N122:N141" si="68">H122-K122</f>
        <v>-0.15000000000000002</v>
      </c>
      <c r="O122" s="32">
        <f t="shared" ref="O122:O141" si="69">N122-SQRT((H122-I122)^2+(K122-M122)^2)</f>
        <v>-0.33315176551613296</v>
      </c>
      <c r="P122" s="7">
        <f t="shared" ref="P122:P141" si="70">N122+SQRT((H122-J122)^2+(K122-L122)^2)</f>
        <v>3.159053824921107E-2</v>
      </c>
      <c r="Q122" s="7" t="str">
        <f t="shared" ref="Q122:Q141" si="71">IF(O122*P122&lt;0,"PASS","FAIL")</f>
        <v>PASS</v>
      </c>
    </row>
    <row r="123" spans="2:17">
      <c r="B123" s="12">
        <v>2</v>
      </c>
      <c r="C123" s="13">
        <f t="shared" si="60"/>
        <v>18</v>
      </c>
      <c r="D123" s="1"/>
      <c r="E123" s="12">
        <v>4</v>
      </c>
      <c r="F123" s="13">
        <f t="shared" si="61"/>
        <v>16</v>
      </c>
      <c r="G123" s="2"/>
      <c r="H123" s="6">
        <f t="shared" si="62"/>
        <v>0.1</v>
      </c>
      <c r="I123" s="32">
        <f t="shared" si="63"/>
        <v>3.3559823754916465E-2</v>
      </c>
      <c r="J123" s="7">
        <f t="shared" si="64"/>
        <v>0.26229670611635653</v>
      </c>
      <c r="K123" s="6">
        <f t="shared" si="65"/>
        <v>0.2</v>
      </c>
      <c r="L123" s="32">
        <f t="shared" si="66"/>
        <v>9.2900237075401015E-2</v>
      </c>
      <c r="M123" s="7">
        <f t="shared" si="67"/>
        <v>0.37899326055910226</v>
      </c>
      <c r="N123" s="6">
        <f t="shared" si="68"/>
        <v>-0.1</v>
      </c>
      <c r="O123" s="32">
        <f t="shared" si="69"/>
        <v>-0.29092638462259857</v>
      </c>
      <c r="P123" s="7">
        <f t="shared" si="70"/>
        <v>9.4449427961936422E-2</v>
      </c>
      <c r="Q123" s="7" t="str">
        <f t="shared" si="71"/>
        <v>PASS</v>
      </c>
    </row>
    <row r="124" spans="2:17">
      <c r="B124" s="12">
        <v>3</v>
      </c>
      <c r="C124" s="13">
        <f t="shared" si="60"/>
        <v>17</v>
      </c>
      <c r="D124" s="1"/>
      <c r="E124" s="12">
        <v>4</v>
      </c>
      <c r="F124" s="13">
        <f t="shared" si="61"/>
        <v>16</v>
      </c>
      <c r="G124" s="2"/>
      <c r="H124" s="6">
        <f t="shared" si="62"/>
        <v>0.15</v>
      </c>
      <c r="I124" s="32">
        <f t="shared" si="63"/>
        <v>6.1419802519351356E-2</v>
      </c>
      <c r="J124" s="7">
        <f t="shared" si="64"/>
        <v>0.32245521123353676</v>
      </c>
      <c r="K124" s="6">
        <f t="shared" si="65"/>
        <v>0.2</v>
      </c>
      <c r="L124" s="32">
        <f t="shared" si="66"/>
        <v>9.2900237075401015E-2</v>
      </c>
      <c r="M124" s="7">
        <f t="shared" si="67"/>
        <v>0.37899326055910226</v>
      </c>
      <c r="N124" s="6">
        <f t="shared" si="68"/>
        <v>-5.0000000000000017E-2</v>
      </c>
      <c r="O124" s="32">
        <f t="shared" si="69"/>
        <v>-0.24971238997941361</v>
      </c>
      <c r="P124" s="7">
        <f t="shared" si="70"/>
        <v>0.15300531791090866</v>
      </c>
      <c r="Q124" s="7" t="str">
        <f t="shared" si="71"/>
        <v>PASS</v>
      </c>
    </row>
    <row r="125" spans="2:17">
      <c r="B125" s="12">
        <v>4</v>
      </c>
      <c r="C125" s="13">
        <f t="shared" si="60"/>
        <v>16</v>
      </c>
      <c r="D125" s="1"/>
      <c r="E125" s="12">
        <v>4</v>
      </c>
      <c r="F125" s="13">
        <f t="shared" si="61"/>
        <v>16</v>
      </c>
      <c r="G125" s="2"/>
      <c r="H125" s="6">
        <f t="shared" si="62"/>
        <v>0.2</v>
      </c>
      <c r="I125" s="32">
        <f t="shared" si="63"/>
        <v>9.2900237075401015E-2</v>
      </c>
      <c r="J125" s="7">
        <f t="shared" si="64"/>
        <v>0.37899326055910226</v>
      </c>
      <c r="K125" s="6">
        <f t="shared" si="65"/>
        <v>0.2</v>
      </c>
      <c r="L125" s="32">
        <f t="shared" si="66"/>
        <v>9.2900237075401015E-2</v>
      </c>
      <c r="M125" s="7">
        <f t="shared" si="67"/>
        <v>0.37899326055910226</v>
      </c>
      <c r="N125" s="6">
        <f t="shared" si="68"/>
        <v>0</v>
      </c>
      <c r="O125" s="32">
        <f t="shared" si="69"/>
        <v>-0.20858798274129786</v>
      </c>
      <c r="P125" s="7">
        <f t="shared" si="70"/>
        <v>0.20858798274129786</v>
      </c>
      <c r="Q125" s="7" t="str">
        <f t="shared" si="71"/>
        <v>PASS</v>
      </c>
    </row>
    <row r="126" spans="2:17">
      <c r="B126" s="12">
        <v>5</v>
      </c>
      <c r="C126" s="13">
        <f t="shared" si="60"/>
        <v>15</v>
      </c>
      <c r="D126" s="1"/>
      <c r="E126" s="12">
        <v>4</v>
      </c>
      <c r="F126" s="13">
        <f t="shared" si="61"/>
        <v>16</v>
      </c>
      <c r="G126" s="2"/>
      <c r="H126" s="6">
        <f t="shared" si="62"/>
        <v>0.25</v>
      </c>
      <c r="I126" s="32">
        <f t="shared" si="63"/>
        <v>0.12710822188096477</v>
      </c>
      <c r="J126" s="7">
        <f t="shared" si="64"/>
        <v>0.43280375963515361</v>
      </c>
      <c r="K126" s="6">
        <f t="shared" si="65"/>
        <v>0.2</v>
      </c>
      <c r="L126" s="32">
        <f t="shared" si="66"/>
        <v>9.2900237075401015E-2</v>
      </c>
      <c r="M126" s="7">
        <f t="shared" si="67"/>
        <v>0.37899326055910226</v>
      </c>
      <c r="N126" s="6">
        <f t="shared" si="68"/>
        <v>4.9999999999999989E-2</v>
      </c>
      <c r="O126" s="32">
        <f t="shared" si="69"/>
        <v>-0.16711972838698205</v>
      </c>
      <c r="P126" s="7">
        <f t="shared" si="70"/>
        <v>0.26186687743782022</v>
      </c>
      <c r="Q126" s="7" t="str">
        <f t="shared" si="71"/>
        <v>PASS</v>
      </c>
    </row>
    <row r="127" spans="2:17">
      <c r="B127" s="12">
        <v>6</v>
      </c>
      <c r="C127" s="13">
        <f t="shared" si="60"/>
        <v>14</v>
      </c>
      <c r="D127" s="1"/>
      <c r="E127" s="12">
        <v>4</v>
      </c>
      <c r="F127" s="13">
        <f t="shared" si="61"/>
        <v>16</v>
      </c>
      <c r="G127" s="2"/>
      <c r="H127" s="6">
        <f t="shared" si="62"/>
        <v>0.3</v>
      </c>
      <c r="I127" s="32">
        <f t="shared" si="63"/>
        <v>0.16354304302976813</v>
      </c>
      <c r="J127" s="7">
        <f t="shared" si="64"/>
        <v>0.48438742236796539</v>
      </c>
      <c r="K127" s="6">
        <f t="shared" si="65"/>
        <v>0.2</v>
      </c>
      <c r="L127" s="32">
        <f t="shared" si="66"/>
        <v>9.2900237075401015E-2</v>
      </c>
      <c r="M127" s="7">
        <f t="shared" si="67"/>
        <v>0.37899326055910226</v>
      </c>
      <c r="N127" s="6">
        <f t="shared" si="68"/>
        <v>9.9999999999999978E-2</v>
      </c>
      <c r="O127" s="32">
        <f t="shared" si="69"/>
        <v>-0.12507573932157678</v>
      </c>
      <c r="P127" s="7">
        <f t="shared" si="70"/>
        <v>0.31323480191096331</v>
      </c>
      <c r="Q127" s="7" t="str">
        <f t="shared" si="71"/>
        <v>PASS</v>
      </c>
    </row>
    <row r="128" spans="2:17">
      <c r="B128" s="12">
        <v>7</v>
      </c>
      <c r="C128" s="13">
        <f t="shared" si="60"/>
        <v>13</v>
      </c>
      <c r="D128" s="1"/>
      <c r="E128" s="12">
        <v>4</v>
      </c>
      <c r="F128" s="13">
        <f t="shared" si="61"/>
        <v>16</v>
      </c>
      <c r="G128" s="2"/>
      <c r="H128" s="6">
        <f t="shared" si="62"/>
        <v>0.35</v>
      </c>
      <c r="I128" s="32">
        <f t="shared" si="63"/>
        <v>0.20189973247796225</v>
      </c>
      <c r="J128" s="7">
        <f t="shared" si="64"/>
        <v>0.53404921680138639</v>
      </c>
      <c r="K128" s="6">
        <f t="shared" si="65"/>
        <v>0.2</v>
      </c>
      <c r="L128" s="32">
        <f t="shared" si="66"/>
        <v>9.2900237075401015E-2</v>
      </c>
      <c r="M128" s="7">
        <f t="shared" si="67"/>
        <v>0.37899326055910226</v>
      </c>
      <c r="N128" s="6">
        <f t="shared" si="68"/>
        <v>0.14999999999999997</v>
      </c>
      <c r="O128" s="32">
        <f t="shared" si="69"/>
        <v>-8.2319341781259853E-2</v>
      </c>
      <c r="P128" s="7">
        <f t="shared" si="70"/>
        <v>0.36294241809397448</v>
      </c>
      <c r="Q128" s="7" t="str">
        <f t="shared" si="71"/>
        <v>PASS</v>
      </c>
    </row>
    <row r="129" spans="2:17">
      <c r="B129" s="12">
        <v>8</v>
      </c>
      <c r="C129" s="13">
        <f t="shared" si="60"/>
        <v>12</v>
      </c>
      <c r="D129" s="1"/>
      <c r="E129" s="12">
        <v>4</v>
      </c>
      <c r="F129" s="13">
        <f t="shared" si="61"/>
        <v>16</v>
      </c>
      <c r="G129" s="2"/>
      <c r="H129" s="6">
        <f t="shared" si="62"/>
        <v>0.4</v>
      </c>
      <c r="I129" s="32">
        <f t="shared" si="63"/>
        <v>0.24198647075497337</v>
      </c>
      <c r="J129" s="7">
        <f t="shared" si="64"/>
        <v>0.5819809624059904</v>
      </c>
      <c r="K129" s="6">
        <f t="shared" si="65"/>
        <v>0.2</v>
      </c>
      <c r="L129" s="32">
        <f t="shared" si="66"/>
        <v>9.2900237075401015E-2</v>
      </c>
      <c r="M129" s="7">
        <f t="shared" si="67"/>
        <v>0.37899326055910226</v>
      </c>
      <c r="N129" s="6">
        <f t="shared" si="68"/>
        <v>0.2</v>
      </c>
      <c r="O129" s="32">
        <f t="shared" si="69"/>
        <v>-3.8761099742080168E-2</v>
      </c>
      <c r="P129" s="7">
        <f t="shared" si="70"/>
        <v>0.41115735814012211</v>
      </c>
      <c r="Q129" s="7" t="str">
        <f t="shared" si="71"/>
        <v>PASS</v>
      </c>
    </row>
    <row r="130" spans="2:17">
      <c r="B130" s="12">
        <v>9</v>
      </c>
      <c r="C130" s="13">
        <f t="shared" si="60"/>
        <v>11</v>
      </c>
      <c r="D130" s="1"/>
      <c r="E130" s="12">
        <v>4</v>
      </c>
      <c r="F130" s="13">
        <f t="shared" si="61"/>
        <v>16</v>
      </c>
      <c r="G130" s="2"/>
      <c r="H130" s="6">
        <f t="shared" si="62"/>
        <v>0.45</v>
      </c>
      <c r="I130" s="32">
        <f t="shared" si="63"/>
        <v>0.28368506621578338</v>
      </c>
      <c r="J130" s="7">
        <f t="shared" si="64"/>
        <v>0.62830085082679554</v>
      </c>
      <c r="K130" s="6">
        <f t="shared" si="65"/>
        <v>0.2</v>
      </c>
      <c r="L130" s="32">
        <f t="shared" si="66"/>
        <v>9.2900237075401015E-2</v>
      </c>
      <c r="M130" s="7">
        <f t="shared" si="67"/>
        <v>0.37899326055910226</v>
      </c>
      <c r="N130" s="6">
        <f t="shared" si="68"/>
        <v>0.25</v>
      </c>
      <c r="O130" s="32">
        <f t="shared" si="69"/>
        <v>5.6657115236851963E-3</v>
      </c>
      <c r="P130" s="7">
        <f t="shared" si="70"/>
        <v>0.45799411680156843</v>
      </c>
      <c r="Q130" s="7" t="str">
        <f t="shared" si="71"/>
        <v>FAIL</v>
      </c>
    </row>
    <row r="131" spans="2:17">
      <c r="B131" s="12">
        <v>10</v>
      </c>
      <c r="C131" s="13">
        <f t="shared" si="60"/>
        <v>10</v>
      </c>
      <c r="D131" s="1"/>
      <c r="E131" s="12">
        <v>4</v>
      </c>
      <c r="F131" s="13">
        <f t="shared" si="61"/>
        <v>16</v>
      </c>
      <c r="G131" s="2"/>
      <c r="H131" s="6">
        <f t="shared" si="62"/>
        <v>0.5</v>
      </c>
      <c r="I131" s="32">
        <f t="shared" si="63"/>
        <v>0.32693094787634341</v>
      </c>
      <c r="J131" s="7">
        <f t="shared" si="64"/>
        <v>0.6730734530478506</v>
      </c>
      <c r="K131" s="6">
        <f t="shared" si="65"/>
        <v>0.2</v>
      </c>
      <c r="L131" s="32">
        <f t="shared" si="66"/>
        <v>9.2900237075401015E-2</v>
      </c>
      <c r="M131" s="7">
        <f t="shared" si="67"/>
        <v>0.37899326055910226</v>
      </c>
      <c r="N131" s="6">
        <f t="shared" si="68"/>
        <v>0.3</v>
      </c>
      <c r="O131" s="32">
        <f t="shared" si="69"/>
        <v>5.1019108908816779E-2</v>
      </c>
      <c r="P131" s="7">
        <f t="shared" si="70"/>
        <v>0.50353078236083082</v>
      </c>
      <c r="Q131" s="7" t="str">
        <f t="shared" si="71"/>
        <v>FAIL</v>
      </c>
    </row>
    <row r="132" spans="2:17">
      <c r="B132" s="12">
        <v>11</v>
      </c>
      <c r="C132" s="13">
        <f t="shared" si="60"/>
        <v>9</v>
      </c>
      <c r="D132" s="1"/>
      <c r="E132" s="12">
        <v>4</v>
      </c>
      <c r="F132" s="13">
        <f t="shared" si="61"/>
        <v>16</v>
      </c>
      <c r="G132" s="2"/>
      <c r="H132" s="6">
        <f t="shared" si="62"/>
        <v>0.55000000000000004</v>
      </c>
      <c r="I132" s="32">
        <f t="shared" si="63"/>
        <v>0.37170355009739847</v>
      </c>
      <c r="J132" s="7">
        <f t="shared" si="64"/>
        <v>0.71631933470841069</v>
      </c>
      <c r="K132" s="6">
        <f t="shared" si="65"/>
        <v>0.2</v>
      </c>
      <c r="L132" s="32">
        <f t="shared" si="66"/>
        <v>9.2900237075401015E-2</v>
      </c>
      <c r="M132" s="7">
        <f t="shared" si="67"/>
        <v>0.37899326055910226</v>
      </c>
      <c r="N132" s="6">
        <f t="shared" si="68"/>
        <v>0.35000000000000003</v>
      </c>
      <c r="O132" s="32">
        <f t="shared" si="69"/>
        <v>9.7357542417254084E-2</v>
      </c>
      <c r="P132" s="7">
        <f t="shared" si="70"/>
        <v>0.54781931229370318</v>
      </c>
      <c r="Q132" s="7" t="str">
        <f t="shared" si="71"/>
        <v>FAIL</v>
      </c>
    </row>
    <row r="133" spans="2:17">
      <c r="B133" s="12">
        <v>12</v>
      </c>
      <c r="C133" s="13">
        <f t="shared" si="60"/>
        <v>8</v>
      </c>
      <c r="D133" s="1"/>
      <c r="E133" s="12">
        <v>4</v>
      </c>
      <c r="F133" s="13">
        <f t="shared" si="61"/>
        <v>16</v>
      </c>
      <c r="G133" s="2"/>
      <c r="H133" s="6">
        <f t="shared" si="62"/>
        <v>0.6</v>
      </c>
      <c r="I133" s="32">
        <f t="shared" si="63"/>
        <v>0.41802343851820367</v>
      </c>
      <c r="J133" s="7">
        <f t="shared" si="64"/>
        <v>0.75801793016922059</v>
      </c>
      <c r="K133" s="6">
        <f t="shared" si="65"/>
        <v>0.2</v>
      </c>
      <c r="L133" s="32">
        <f t="shared" si="66"/>
        <v>9.2900237075401015E-2</v>
      </c>
      <c r="M133" s="7">
        <f t="shared" si="67"/>
        <v>0.37899326055910226</v>
      </c>
      <c r="N133" s="6">
        <f t="shared" si="68"/>
        <v>0.39999999999999997</v>
      </c>
      <c r="O133" s="32">
        <f t="shared" si="69"/>
        <v>0.14474707395542613</v>
      </c>
      <c r="P133" s="7">
        <f t="shared" si="70"/>
        <v>0.59089270670580896</v>
      </c>
      <c r="Q133" s="7" t="str">
        <f t="shared" si="71"/>
        <v>FAIL</v>
      </c>
    </row>
    <row r="134" spans="2:17">
      <c r="B134" s="12">
        <v>13</v>
      </c>
      <c r="C134" s="13">
        <f t="shared" si="60"/>
        <v>7</v>
      </c>
      <c r="D134" s="1"/>
      <c r="E134" s="12">
        <v>4</v>
      </c>
      <c r="F134" s="13">
        <f t="shared" si="61"/>
        <v>16</v>
      </c>
      <c r="G134" s="2"/>
      <c r="H134" s="6">
        <f t="shared" si="62"/>
        <v>0.65</v>
      </c>
      <c r="I134" s="32">
        <f t="shared" si="63"/>
        <v>0.46595518412280768</v>
      </c>
      <c r="J134" s="7">
        <f t="shared" si="64"/>
        <v>0.79810466844623185</v>
      </c>
      <c r="K134" s="6">
        <f t="shared" si="65"/>
        <v>0.2</v>
      </c>
      <c r="L134" s="32">
        <f t="shared" si="66"/>
        <v>9.2900237075401015E-2</v>
      </c>
      <c r="M134" s="7">
        <f t="shared" si="67"/>
        <v>0.37899326055910226</v>
      </c>
      <c r="N134" s="6">
        <f t="shared" si="68"/>
        <v>0.45</v>
      </c>
      <c r="O134" s="32">
        <f t="shared" si="69"/>
        <v>0.19326846400013825</v>
      </c>
      <c r="P134" s="7">
        <f t="shared" si="70"/>
        <v>0.63277131075218995</v>
      </c>
      <c r="Q134" s="7" t="str">
        <f t="shared" si="71"/>
        <v>FAIL</v>
      </c>
    </row>
    <row r="135" spans="2:17">
      <c r="B135" s="12">
        <v>14</v>
      </c>
      <c r="C135" s="13">
        <f t="shared" si="60"/>
        <v>6</v>
      </c>
      <c r="D135" s="1"/>
      <c r="E135" s="12">
        <v>4</v>
      </c>
      <c r="F135" s="13">
        <f t="shared" si="61"/>
        <v>16</v>
      </c>
      <c r="G135" s="2"/>
      <c r="H135" s="6">
        <f t="shared" si="62"/>
        <v>0.7</v>
      </c>
      <c r="I135" s="32">
        <f t="shared" si="63"/>
        <v>0.51561697855622868</v>
      </c>
      <c r="J135" s="7">
        <f t="shared" si="64"/>
        <v>0.83646135789442599</v>
      </c>
      <c r="K135" s="6">
        <f t="shared" si="65"/>
        <v>0.2</v>
      </c>
      <c r="L135" s="32">
        <f t="shared" si="66"/>
        <v>9.2900237075401015E-2</v>
      </c>
      <c r="M135" s="7">
        <f t="shared" si="67"/>
        <v>0.37899326055910226</v>
      </c>
      <c r="N135" s="6">
        <f t="shared" si="68"/>
        <v>0.49999999999999994</v>
      </c>
      <c r="O135" s="32">
        <f t="shared" si="69"/>
        <v>0.24302590418037673</v>
      </c>
      <c r="P135" s="7">
        <f t="shared" si="70"/>
        <v>0.6734706356041158</v>
      </c>
      <c r="Q135" s="7" t="str">
        <f t="shared" si="71"/>
        <v>FAIL</v>
      </c>
    </row>
    <row r="136" spans="2:17">
      <c r="B136" s="12">
        <v>15</v>
      </c>
      <c r="C136" s="13">
        <f t="shared" si="60"/>
        <v>5</v>
      </c>
      <c r="D136" s="1"/>
      <c r="E136" s="12">
        <v>4</v>
      </c>
      <c r="F136" s="13">
        <f t="shared" si="61"/>
        <v>16</v>
      </c>
      <c r="G136" s="2"/>
      <c r="H136" s="6">
        <f t="shared" si="62"/>
        <v>0.75</v>
      </c>
      <c r="I136" s="32">
        <f t="shared" si="63"/>
        <v>0.56720064128904046</v>
      </c>
      <c r="J136" s="7">
        <f t="shared" si="64"/>
        <v>0.87289617904322925</v>
      </c>
      <c r="K136" s="6">
        <f t="shared" si="65"/>
        <v>0.2</v>
      </c>
      <c r="L136" s="32">
        <f t="shared" si="66"/>
        <v>9.2900237075401015E-2</v>
      </c>
      <c r="M136" s="7">
        <f t="shared" si="67"/>
        <v>0.37899326055910226</v>
      </c>
      <c r="N136" s="6">
        <f t="shared" si="68"/>
        <v>0.55000000000000004</v>
      </c>
      <c r="O136" s="32">
        <f t="shared" si="69"/>
        <v>0.29415982944284003</v>
      </c>
      <c r="P136" s="7">
        <f t="shared" si="70"/>
        <v>0.7130148154062409</v>
      </c>
      <c r="Q136" s="7" t="str">
        <f t="shared" si="71"/>
        <v>FAIL</v>
      </c>
    </row>
    <row r="137" spans="2:17">
      <c r="B137" s="12">
        <v>16</v>
      </c>
      <c r="C137" s="13">
        <f t="shared" si="60"/>
        <v>4</v>
      </c>
      <c r="D137" s="1"/>
      <c r="E137" s="12">
        <v>4</v>
      </c>
      <c r="F137" s="13">
        <f t="shared" si="61"/>
        <v>16</v>
      </c>
      <c r="G137" s="2"/>
      <c r="H137" s="6">
        <f t="shared" si="62"/>
        <v>0.8</v>
      </c>
      <c r="I137" s="32">
        <f t="shared" si="63"/>
        <v>0.62101114036509186</v>
      </c>
      <c r="J137" s="7">
        <f t="shared" si="64"/>
        <v>0.907104163848793</v>
      </c>
      <c r="K137" s="6">
        <f t="shared" si="65"/>
        <v>0.2</v>
      </c>
      <c r="L137" s="32">
        <f t="shared" si="66"/>
        <v>9.2900237075401015E-2</v>
      </c>
      <c r="M137" s="7">
        <f t="shared" si="67"/>
        <v>0.37899326055910226</v>
      </c>
      <c r="N137" s="6">
        <f t="shared" si="68"/>
        <v>0.60000000000000009</v>
      </c>
      <c r="O137" s="32">
        <f t="shared" si="69"/>
        <v>0.3468684152481491</v>
      </c>
      <c r="P137" s="7">
        <f t="shared" si="70"/>
        <v>0.75146504921022017</v>
      </c>
      <c r="Q137" s="7" t="str">
        <f t="shared" si="71"/>
        <v>FAIL</v>
      </c>
    </row>
    <row r="138" spans="2:17">
      <c r="B138" s="12">
        <v>17</v>
      </c>
      <c r="C138" s="13">
        <f t="shared" si="60"/>
        <v>3</v>
      </c>
      <c r="D138" s="1"/>
      <c r="E138" s="12">
        <v>4</v>
      </c>
      <c r="F138" s="13">
        <f t="shared" si="61"/>
        <v>16</v>
      </c>
      <c r="G138" s="2"/>
      <c r="H138" s="6">
        <f t="shared" si="62"/>
        <v>0.85</v>
      </c>
      <c r="I138" s="32">
        <f t="shared" si="63"/>
        <v>0.67754918969065736</v>
      </c>
      <c r="J138" s="7">
        <f t="shared" si="64"/>
        <v>0.93858459840484276</v>
      </c>
      <c r="K138" s="6">
        <f t="shared" si="65"/>
        <v>0.2</v>
      </c>
      <c r="L138" s="32">
        <f t="shared" si="66"/>
        <v>9.2900237075401015E-2</v>
      </c>
      <c r="M138" s="7">
        <f t="shared" si="67"/>
        <v>0.37899326055910226</v>
      </c>
      <c r="N138" s="6">
        <f t="shared" si="68"/>
        <v>0.64999999999999991</v>
      </c>
      <c r="O138" s="32">
        <f t="shared" si="69"/>
        <v>0.40144845745413771</v>
      </c>
      <c r="P138" s="7">
        <f t="shared" si="70"/>
        <v>0.78898773432592018</v>
      </c>
      <c r="Q138" s="7" t="str">
        <f t="shared" si="71"/>
        <v>FAIL</v>
      </c>
    </row>
    <row r="139" spans="2:17">
      <c r="B139" s="12">
        <v>18</v>
      </c>
      <c r="C139" s="13">
        <f t="shared" si="60"/>
        <v>2</v>
      </c>
      <c r="D139" s="1"/>
      <c r="E139" s="12">
        <v>4</v>
      </c>
      <c r="F139" s="13">
        <f t="shared" si="61"/>
        <v>16</v>
      </c>
      <c r="G139" s="2"/>
      <c r="H139" s="6">
        <f t="shared" si="62"/>
        <v>0.9</v>
      </c>
      <c r="I139" s="32">
        <f t="shared" si="63"/>
        <v>0.7377076948078376</v>
      </c>
      <c r="J139" s="7">
        <f t="shared" si="64"/>
        <v>0.96644457716927756</v>
      </c>
      <c r="K139" s="6">
        <f t="shared" si="65"/>
        <v>0.2</v>
      </c>
      <c r="L139" s="32">
        <f t="shared" si="66"/>
        <v>9.2900237075401015E-2</v>
      </c>
      <c r="M139" s="7">
        <f t="shared" si="67"/>
        <v>0.37899326055910226</v>
      </c>
      <c r="N139" s="6">
        <f t="shared" si="68"/>
        <v>0.7</v>
      </c>
      <c r="O139" s="32">
        <f t="shared" si="69"/>
        <v>0.45838588689779591</v>
      </c>
      <c r="P139" s="7">
        <f t="shared" si="70"/>
        <v>0.82603666551329169</v>
      </c>
      <c r="Q139" s="7" t="str">
        <f t="shared" si="71"/>
        <v>FAIL</v>
      </c>
    </row>
    <row r="140" spans="2:17">
      <c r="B140" s="12">
        <v>19</v>
      </c>
      <c r="C140" s="13">
        <f t="shared" si="60"/>
        <v>1</v>
      </c>
      <c r="D140" s="1"/>
      <c r="E140" s="12">
        <v>4</v>
      </c>
      <c r="F140" s="13">
        <f t="shared" si="61"/>
        <v>16</v>
      </c>
      <c r="G140" s="2"/>
      <c r="H140" s="6">
        <f t="shared" si="62"/>
        <v>0.95</v>
      </c>
      <c r="I140" s="32">
        <f t="shared" si="63"/>
        <v>0.80335937249454403</v>
      </c>
      <c r="J140" s="7">
        <f t="shared" si="64"/>
        <v>0.98881138336418628</v>
      </c>
      <c r="K140" s="6">
        <f t="shared" si="65"/>
        <v>0.2</v>
      </c>
      <c r="L140" s="32">
        <f t="shared" si="66"/>
        <v>9.2900237075401015E-2</v>
      </c>
      <c r="M140" s="7">
        <f t="shared" si="67"/>
        <v>0.37899326055910226</v>
      </c>
      <c r="N140" s="6">
        <f t="shared" si="68"/>
        <v>0.75</v>
      </c>
      <c r="O140" s="32">
        <f t="shared" si="69"/>
        <v>0.51860842504366644</v>
      </c>
      <c r="P140" s="7">
        <f t="shared" si="70"/>
        <v>0.86391524348017323</v>
      </c>
      <c r="Q140" s="7" t="str">
        <f t="shared" si="71"/>
        <v>FAIL</v>
      </c>
    </row>
    <row r="141" spans="2:17" ht="15" thickBot="1">
      <c r="B141" s="15">
        <v>20</v>
      </c>
      <c r="C141" s="14">
        <f t="shared" si="60"/>
        <v>0</v>
      </c>
      <c r="D141" s="1"/>
      <c r="E141" s="15">
        <v>4</v>
      </c>
      <c r="F141" s="14">
        <f t="shared" si="61"/>
        <v>16</v>
      </c>
      <c r="G141" s="2"/>
      <c r="H141" s="8">
        <f t="shared" si="62"/>
        <v>1</v>
      </c>
      <c r="I141" s="16">
        <f t="shared" si="63"/>
        <v>0.88018813951940023</v>
      </c>
      <c r="J141" s="9">
        <f t="shared" si="64"/>
        <v>1.0000011002209452</v>
      </c>
      <c r="K141" s="8">
        <f t="shared" si="65"/>
        <v>0.2</v>
      </c>
      <c r="L141" s="16">
        <f t="shared" si="66"/>
        <v>9.2900237075401015E-2</v>
      </c>
      <c r="M141" s="9">
        <f t="shared" si="67"/>
        <v>0.37899326055910226</v>
      </c>
      <c r="N141" s="8">
        <f t="shared" si="68"/>
        <v>0.8</v>
      </c>
      <c r="O141" s="16">
        <f t="shared" si="69"/>
        <v>0.5846085674001833</v>
      </c>
      <c r="P141" s="9">
        <f t="shared" si="70"/>
        <v>0.9070997629302503</v>
      </c>
      <c r="Q141" s="9" t="str">
        <f t="shared" si="71"/>
        <v>FAIL</v>
      </c>
    </row>
    <row r="142" spans="2:17" ht="15" thickBot="1"/>
    <row r="143" spans="2:17">
      <c r="B143" s="3">
        <v>0</v>
      </c>
      <c r="C143" s="11">
        <f>20-B143</f>
        <v>20</v>
      </c>
      <c r="D143" s="1"/>
      <c r="E143" s="3">
        <v>5</v>
      </c>
      <c r="F143" s="11">
        <f>20-E143</f>
        <v>15</v>
      </c>
      <c r="G143" s="2"/>
      <c r="H143" s="5">
        <f>B143/SUM(B143:C143)</f>
        <v>0</v>
      </c>
      <c r="I143" s="41">
        <f>((B143+1.3613)-(1.65*SQRT(B143-(B143^2/SUM(B143:C143))+0.6806)))/(SUM(B143:C143)+2.7225)</f>
        <v>3.3007032488877747E-6</v>
      </c>
      <c r="J143" s="4">
        <f>((B143+1.3613)+(1.65*SQRT(B143-(B143^2/SUM(B143:C143))+0.6806)))/(SUM(B143:C143)+2.7225)</f>
        <v>0.1198162614047938</v>
      </c>
      <c r="K143" s="5">
        <f>E143/SUM(E143:F143)</f>
        <v>0.25</v>
      </c>
      <c r="L143" s="41">
        <f>((E143+1.3613)-(1.65*SQRT(E143-(E143^2/SUM(E143:F143))+0.6806)))/(SUM(E143:F143)+2.7225)</f>
        <v>0.12710822188096477</v>
      </c>
      <c r="M143" s="4">
        <f>((E143+1.3613)+(1.65*SQRT(E143-(E143^2/SUM(E143:F143))+0.6806)))/(SUM(E143:F143)+2.7225)</f>
        <v>0.43280375963515361</v>
      </c>
      <c r="N143" s="5">
        <f>H143-K143</f>
        <v>-0.25</v>
      </c>
      <c r="O143" s="41">
        <f>N143-SQRT((H143-I143)^2+(K143-M143)^2)</f>
        <v>-0.43280375966495233</v>
      </c>
      <c r="P143" s="4">
        <f>N143+SQRT((H143-J143)^2+(K143-L143)^2)</f>
        <v>-7.8365721295890117E-2</v>
      </c>
      <c r="Q143" s="4" t="str">
        <f>IF(O143*P143&lt;0,"PASS","FAIL")</f>
        <v>FAIL</v>
      </c>
    </row>
    <row r="144" spans="2:17">
      <c r="B144" s="12">
        <v>1</v>
      </c>
      <c r="C144" s="13">
        <f t="shared" ref="C144:C163" si="72">20-B144</f>
        <v>19</v>
      </c>
      <c r="D144" s="1"/>
      <c r="E144" s="12">
        <v>5</v>
      </c>
      <c r="F144" s="13">
        <f t="shared" ref="F144:F163" si="73">20-E144</f>
        <v>15</v>
      </c>
      <c r="G144" s="2"/>
      <c r="H144" s="6">
        <f t="shared" ref="H144:H163" si="74">B144/SUM(B144:C144)</f>
        <v>0.05</v>
      </c>
      <c r="I144" s="32">
        <f t="shared" ref="I144:I163" si="75">((B144+1.3613)-(1.65*SQRT(B144-(B144^2/SUM(B144:C144))+0.6806)))/(SUM(B144:C144)+2.7225)</f>
        <v>1.1193017560007713E-2</v>
      </c>
      <c r="J144" s="7">
        <f t="shared" ref="J144:J163" si="76">((B144+1.3613)+(1.65*SQRT(B144-(B144^2/SUM(B144:C144))+0.6806)))/(SUM(B144:C144)+2.7225)</f>
        <v>0.19664502842965012</v>
      </c>
      <c r="K144" s="6">
        <f t="shared" ref="K144:K163" si="77">E144/SUM(E144:F144)</f>
        <v>0.25</v>
      </c>
      <c r="L144" s="32">
        <f t="shared" ref="L144:L163" si="78">((E144+1.3613)-(1.65*SQRT(E144-(E144^2/SUM(E144:F144))+0.6806)))/(SUM(E144:F144)+2.7225)</f>
        <v>0.12710822188096477</v>
      </c>
      <c r="M144" s="7">
        <f t="shared" ref="M144:M163" si="79">((E144+1.3613)+(1.65*SQRT(E144-(E144^2/SUM(E144:F144))+0.6806)))/(SUM(E144:F144)+2.7225)</f>
        <v>0.43280375963515361</v>
      </c>
      <c r="N144" s="6">
        <f t="shared" ref="N144:N163" si="80">H144-K144</f>
        <v>-0.2</v>
      </c>
      <c r="O144" s="32">
        <f t="shared" ref="O144:O163" si="81">N144-SQRT((H144-I144)^2+(K144-M144)^2)</f>
        <v>-0.38687749041242203</v>
      </c>
      <c r="P144" s="7">
        <f t="shared" ref="P144:P163" si="82">N144+SQRT((H144-J144)^2+(K144-L144)^2)</f>
        <v>-8.6700402644921126E-3</v>
      </c>
      <c r="Q144" s="7" t="str">
        <f t="shared" ref="Q144:Q163" si="83">IF(O144*P144&lt;0,"PASS","FAIL")</f>
        <v>FAIL</v>
      </c>
    </row>
    <row r="145" spans="2:17">
      <c r="B145" s="12">
        <v>2</v>
      </c>
      <c r="C145" s="13">
        <f t="shared" si="72"/>
        <v>18</v>
      </c>
      <c r="D145" s="1"/>
      <c r="E145" s="12">
        <v>5</v>
      </c>
      <c r="F145" s="13">
        <f t="shared" si="73"/>
        <v>15</v>
      </c>
      <c r="G145" s="2"/>
      <c r="H145" s="6">
        <f t="shared" si="74"/>
        <v>0.1</v>
      </c>
      <c r="I145" s="32">
        <f t="shared" si="75"/>
        <v>3.3559823754916465E-2</v>
      </c>
      <c r="J145" s="7">
        <f t="shared" si="76"/>
        <v>0.26229670611635653</v>
      </c>
      <c r="K145" s="6">
        <f t="shared" si="77"/>
        <v>0.25</v>
      </c>
      <c r="L145" s="32">
        <f t="shared" si="78"/>
        <v>0.12710822188096477</v>
      </c>
      <c r="M145" s="7">
        <f t="shared" si="79"/>
        <v>0.43280375963515361</v>
      </c>
      <c r="N145" s="6">
        <f t="shared" si="80"/>
        <v>-0.15</v>
      </c>
      <c r="O145" s="32">
        <f t="shared" si="81"/>
        <v>-0.34450324304809105</v>
      </c>
      <c r="P145" s="7">
        <f t="shared" si="82"/>
        <v>5.3574580794059801E-2</v>
      </c>
      <c r="Q145" s="7" t="str">
        <f t="shared" si="83"/>
        <v>PASS</v>
      </c>
    </row>
    <row r="146" spans="2:17">
      <c r="B146" s="12">
        <v>3</v>
      </c>
      <c r="C146" s="13">
        <f t="shared" si="72"/>
        <v>17</v>
      </c>
      <c r="D146" s="1"/>
      <c r="E146" s="12">
        <v>5</v>
      </c>
      <c r="F146" s="13">
        <f t="shared" si="73"/>
        <v>15</v>
      </c>
      <c r="G146" s="2"/>
      <c r="H146" s="6">
        <f t="shared" si="74"/>
        <v>0.15</v>
      </c>
      <c r="I146" s="32">
        <f t="shared" si="75"/>
        <v>6.1419802519351356E-2</v>
      </c>
      <c r="J146" s="7">
        <f t="shared" si="76"/>
        <v>0.32245521123353676</v>
      </c>
      <c r="K146" s="6">
        <f t="shared" si="77"/>
        <v>0.25</v>
      </c>
      <c r="L146" s="32">
        <f t="shared" si="78"/>
        <v>0.12710822188096477</v>
      </c>
      <c r="M146" s="7">
        <f t="shared" si="79"/>
        <v>0.43280375963515361</v>
      </c>
      <c r="N146" s="6">
        <f t="shared" si="80"/>
        <v>-0.1</v>
      </c>
      <c r="O146" s="32">
        <f t="shared" si="81"/>
        <v>-0.30313460050532437</v>
      </c>
      <c r="P146" s="7">
        <f t="shared" si="82"/>
        <v>0.11176210475640341</v>
      </c>
      <c r="Q146" s="7" t="str">
        <f t="shared" si="83"/>
        <v>PASS</v>
      </c>
    </row>
    <row r="147" spans="2:17">
      <c r="B147" s="12">
        <v>4</v>
      </c>
      <c r="C147" s="13">
        <f t="shared" si="72"/>
        <v>16</v>
      </c>
      <c r="D147" s="1"/>
      <c r="E147" s="12">
        <v>5</v>
      </c>
      <c r="F147" s="13">
        <f t="shared" si="73"/>
        <v>15</v>
      </c>
      <c r="G147" s="2"/>
      <c r="H147" s="6">
        <f t="shared" si="74"/>
        <v>0.2</v>
      </c>
      <c r="I147" s="32">
        <f t="shared" si="75"/>
        <v>9.2900237075401015E-2</v>
      </c>
      <c r="J147" s="7">
        <f t="shared" si="76"/>
        <v>0.37899326055910226</v>
      </c>
      <c r="K147" s="6">
        <f t="shared" si="77"/>
        <v>0.25</v>
      </c>
      <c r="L147" s="32">
        <f t="shared" si="78"/>
        <v>0.12710822188096477</v>
      </c>
      <c r="M147" s="7">
        <f t="shared" si="79"/>
        <v>0.43280375963515361</v>
      </c>
      <c r="N147" s="6">
        <f t="shared" si="80"/>
        <v>-4.9999999999999989E-2</v>
      </c>
      <c r="O147" s="32">
        <f t="shared" si="81"/>
        <v>-0.26186687743782022</v>
      </c>
      <c r="P147" s="7">
        <f t="shared" si="82"/>
        <v>0.16711972838698205</v>
      </c>
      <c r="Q147" s="7" t="str">
        <f t="shared" si="83"/>
        <v>PASS</v>
      </c>
    </row>
    <row r="148" spans="2:17">
      <c r="B148" s="12">
        <v>5</v>
      </c>
      <c r="C148" s="13">
        <f t="shared" si="72"/>
        <v>15</v>
      </c>
      <c r="D148" s="1"/>
      <c r="E148" s="12">
        <v>5</v>
      </c>
      <c r="F148" s="13">
        <f t="shared" si="73"/>
        <v>15</v>
      </c>
      <c r="G148" s="2"/>
      <c r="H148" s="6">
        <f t="shared" si="74"/>
        <v>0.25</v>
      </c>
      <c r="I148" s="32">
        <f t="shared" si="75"/>
        <v>0.12710822188096477</v>
      </c>
      <c r="J148" s="7">
        <f t="shared" si="76"/>
        <v>0.43280375963515361</v>
      </c>
      <c r="K148" s="6">
        <f t="shared" si="77"/>
        <v>0.25</v>
      </c>
      <c r="L148" s="32">
        <f t="shared" si="78"/>
        <v>0.12710822188096477</v>
      </c>
      <c r="M148" s="7">
        <f t="shared" si="79"/>
        <v>0.43280375963515361</v>
      </c>
      <c r="N148" s="6">
        <f t="shared" si="80"/>
        <v>0</v>
      </c>
      <c r="O148" s="32">
        <f t="shared" si="81"/>
        <v>-0.22027165878978894</v>
      </c>
      <c r="P148" s="7">
        <f t="shared" si="82"/>
        <v>0.22027165878978894</v>
      </c>
      <c r="Q148" s="7" t="str">
        <f t="shared" si="83"/>
        <v>PASS</v>
      </c>
    </row>
    <row r="149" spans="2:17">
      <c r="B149" s="12">
        <v>6</v>
      </c>
      <c r="C149" s="13">
        <f t="shared" si="72"/>
        <v>14</v>
      </c>
      <c r="D149" s="1"/>
      <c r="E149" s="12">
        <v>5</v>
      </c>
      <c r="F149" s="13">
        <f t="shared" si="73"/>
        <v>15</v>
      </c>
      <c r="G149" s="2"/>
      <c r="H149" s="6">
        <f t="shared" si="74"/>
        <v>0.3</v>
      </c>
      <c r="I149" s="32">
        <f t="shared" si="75"/>
        <v>0.16354304302976813</v>
      </c>
      <c r="J149" s="7">
        <f t="shared" si="76"/>
        <v>0.48438742236796539</v>
      </c>
      <c r="K149" s="6">
        <f t="shared" si="77"/>
        <v>0.25</v>
      </c>
      <c r="L149" s="32">
        <f t="shared" si="78"/>
        <v>0.12710822188096477</v>
      </c>
      <c r="M149" s="7">
        <f t="shared" si="79"/>
        <v>0.43280375963515361</v>
      </c>
      <c r="N149" s="6">
        <f t="shared" si="80"/>
        <v>4.9999999999999989E-2</v>
      </c>
      <c r="O149" s="32">
        <f t="shared" si="81"/>
        <v>-0.17811776704659094</v>
      </c>
      <c r="P149" s="7">
        <f t="shared" si="82"/>
        <v>0.27158770420932804</v>
      </c>
      <c r="Q149" s="7" t="str">
        <f t="shared" si="83"/>
        <v>PASS</v>
      </c>
    </row>
    <row r="150" spans="2:17">
      <c r="B150" s="12">
        <v>7</v>
      </c>
      <c r="C150" s="13">
        <f t="shared" si="72"/>
        <v>13</v>
      </c>
      <c r="D150" s="1"/>
      <c r="E150" s="12">
        <v>5</v>
      </c>
      <c r="F150" s="13">
        <f t="shared" si="73"/>
        <v>15</v>
      </c>
      <c r="G150" s="2"/>
      <c r="H150" s="6">
        <f t="shared" si="74"/>
        <v>0.35</v>
      </c>
      <c r="I150" s="32">
        <f t="shared" si="75"/>
        <v>0.20189973247796225</v>
      </c>
      <c r="J150" s="7">
        <f t="shared" si="76"/>
        <v>0.53404921680138639</v>
      </c>
      <c r="K150" s="6">
        <f t="shared" si="77"/>
        <v>0.25</v>
      </c>
      <c r="L150" s="32">
        <f t="shared" si="78"/>
        <v>0.12710822188096477</v>
      </c>
      <c r="M150" s="7">
        <f t="shared" si="79"/>
        <v>0.43280375963515361</v>
      </c>
      <c r="N150" s="6">
        <f t="shared" si="80"/>
        <v>9.9999999999999978E-2</v>
      </c>
      <c r="O150" s="32">
        <f t="shared" si="81"/>
        <v>-0.13526772786943425</v>
      </c>
      <c r="P150" s="7">
        <f t="shared" si="82"/>
        <v>0.32130635629023835</v>
      </c>
      <c r="Q150" s="7" t="str">
        <f t="shared" si="83"/>
        <v>PASS</v>
      </c>
    </row>
    <row r="151" spans="2:17">
      <c r="B151" s="12">
        <v>8</v>
      </c>
      <c r="C151" s="13">
        <f t="shared" si="72"/>
        <v>12</v>
      </c>
      <c r="D151" s="1"/>
      <c r="E151" s="12">
        <v>5</v>
      </c>
      <c r="F151" s="13">
        <f t="shared" si="73"/>
        <v>15</v>
      </c>
      <c r="G151" s="2"/>
      <c r="H151" s="6">
        <f t="shared" si="74"/>
        <v>0.4</v>
      </c>
      <c r="I151" s="32">
        <f t="shared" si="75"/>
        <v>0.24198647075497337</v>
      </c>
      <c r="J151" s="7">
        <f t="shared" si="76"/>
        <v>0.5819809624059904</v>
      </c>
      <c r="K151" s="6">
        <f t="shared" si="77"/>
        <v>0.25</v>
      </c>
      <c r="L151" s="32">
        <f t="shared" si="78"/>
        <v>0.12710822188096477</v>
      </c>
      <c r="M151" s="7">
        <f t="shared" si="79"/>
        <v>0.43280375963515361</v>
      </c>
      <c r="N151" s="6">
        <f t="shared" si="80"/>
        <v>0.15000000000000002</v>
      </c>
      <c r="O151" s="32">
        <f t="shared" si="81"/>
        <v>-9.163089612302458E-2</v>
      </c>
      <c r="P151" s="7">
        <f t="shared" si="82"/>
        <v>0.36958929802581153</v>
      </c>
      <c r="Q151" s="7" t="str">
        <f t="shared" si="83"/>
        <v>PASS</v>
      </c>
    </row>
    <row r="152" spans="2:17">
      <c r="B152" s="12">
        <v>9</v>
      </c>
      <c r="C152" s="13">
        <f t="shared" si="72"/>
        <v>11</v>
      </c>
      <c r="D152" s="1"/>
      <c r="E152" s="12">
        <v>5</v>
      </c>
      <c r="F152" s="13">
        <f t="shared" si="73"/>
        <v>15</v>
      </c>
      <c r="G152" s="2"/>
      <c r="H152" s="6">
        <f t="shared" si="74"/>
        <v>0.45</v>
      </c>
      <c r="I152" s="32">
        <f t="shared" si="75"/>
        <v>0.28368506621578338</v>
      </c>
      <c r="J152" s="7">
        <f t="shared" si="76"/>
        <v>0.62830085082679554</v>
      </c>
      <c r="K152" s="6">
        <f t="shared" si="77"/>
        <v>0.25</v>
      </c>
      <c r="L152" s="32">
        <f t="shared" si="78"/>
        <v>0.12710822188096477</v>
      </c>
      <c r="M152" s="7">
        <f t="shared" si="79"/>
        <v>0.43280375963515361</v>
      </c>
      <c r="N152" s="6">
        <f t="shared" si="80"/>
        <v>0.2</v>
      </c>
      <c r="O152" s="32">
        <f t="shared" si="81"/>
        <v>-4.7139377146571626E-2</v>
      </c>
      <c r="P152" s="7">
        <f t="shared" si="82"/>
        <v>0.41654926121974506</v>
      </c>
      <c r="Q152" s="7" t="str">
        <f t="shared" si="83"/>
        <v>PASS</v>
      </c>
    </row>
    <row r="153" spans="2:17">
      <c r="B153" s="12">
        <v>10</v>
      </c>
      <c r="C153" s="13">
        <f t="shared" si="72"/>
        <v>10</v>
      </c>
      <c r="D153" s="1"/>
      <c r="E153" s="12">
        <v>5</v>
      </c>
      <c r="F153" s="13">
        <f t="shared" si="73"/>
        <v>15</v>
      </c>
      <c r="G153" s="2"/>
      <c r="H153" s="6">
        <f t="shared" si="74"/>
        <v>0.5</v>
      </c>
      <c r="I153" s="32">
        <f t="shared" si="75"/>
        <v>0.32693094787634341</v>
      </c>
      <c r="J153" s="7">
        <f t="shared" si="76"/>
        <v>0.6730734530478506</v>
      </c>
      <c r="K153" s="6">
        <f t="shared" si="77"/>
        <v>0.25</v>
      </c>
      <c r="L153" s="32">
        <f t="shared" si="78"/>
        <v>0.12710822188096477</v>
      </c>
      <c r="M153" s="7">
        <f t="shared" si="79"/>
        <v>0.43280375963515361</v>
      </c>
      <c r="N153" s="6">
        <f t="shared" si="80"/>
        <v>0.25</v>
      </c>
      <c r="O153" s="32">
        <f t="shared" si="81"/>
        <v>-1.7342077265781186E-3</v>
      </c>
      <c r="P153" s="7">
        <f t="shared" si="82"/>
        <v>0.46226589287769415</v>
      </c>
      <c r="Q153" s="7" t="str">
        <f t="shared" si="83"/>
        <v>PASS</v>
      </c>
    </row>
    <row r="154" spans="2:17">
      <c r="B154" s="12">
        <v>11</v>
      </c>
      <c r="C154" s="13">
        <f t="shared" si="72"/>
        <v>9</v>
      </c>
      <c r="D154" s="1"/>
      <c r="E154" s="12">
        <v>5</v>
      </c>
      <c r="F154" s="13">
        <f t="shared" si="73"/>
        <v>15</v>
      </c>
      <c r="G154" s="2"/>
      <c r="H154" s="6">
        <f t="shared" si="74"/>
        <v>0.55000000000000004</v>
      </c>
      <c r="I154" s="32">
        <f t="shared" si="75"/>
        <v>0.37170355009739847</v>
      </c>
      <c r="J154" s="7">
        <f t="shared" si="76"/>
        <v>0.71631933470841069</v>
      </c>
      <c r="K154" s="6">
        <f t="shared" si="77"/>
        <v>0.25</v>
      </c>
      <c r="L154" s="32">
        <f t="shared" si="78"/>
        <v>0.12710822188096477</v>
      </c>
      <c r="M154" s="7">
        <f t="shared" si="79"/>
        <v>0.43280375963515361</v>
      </c>
      <c r="N154" s="6">
        <f t="shared" si="80"/>
        <v>0.30000000000000004</v>
      </c>
      <c r="O154" s="32">
        <f t="shared" si="81"/>
        <v>4.4643702672877261E-2</v>
      </c>
      <c r="P154" s="7">
        <f t="shared" si="82"/>
        <v>0.5067958177215065</v>
      </c>
      <c r="Q154" s="7" t="str">
        <f t="shared" si="83"/>
        <v>FAIL</v>
      </c>
    </row>
    <row r="155" spans="2:17">
      <c r="B155" s="12">
        <v>12</v>
      </c>
      <c r="C155" s="13">
        <f t="shared" si="72"/>
        <v>8</v>
      </c>
      <c r="D155" s="1"/>
      <c r="E155" s="12">
        <v>5</v>
      </c>
      <c r="F155" s="13">
        <f t="shared" si="73"/>
        <v>15</v>
      </c>
      <c r="G155" s="2"/>
      <c r="H155" s="6">
        <f t="shared" si="74"/>
        <v>0.6</v>
      </c>
      <c r="I155" s="32">
        <f t="shared" si="75"/>
        <v>0.41802343851820367</v>
      </c>
      <c r="J155" s="7">
        <f t="shared" si="76"/>
        <v>0.75801793016922059</v>
      </c>
      <c r="K155" s="6">
        <f t="shared" si="77"/>
        <v>0.25</v>
      </c>
      <c r="L155" s="32">
        <f t="shared" si="78"/>
        <v>0.12710822188096477</v>
      </c>
      <c r="M155" s="7">
        <f t="shared" si="79"/>
        <v>0.43280375963515361</v>
      </c>
      <c r="N155" s="6">
        <f t="shared" si="80"/>
        <v>0.35</v>
      </c>
      <c r="O155" s="32">
        <f t="shared" si="81"/>
        <v>9.2060698098399452E-2</v>
      </c>
      <c r="P155" s="7">
        <f t="shared" si="82"/>
        <v>0.55018005740888087</v>
      </c>
      <c r="Q155" s="7" t="str">
        <f t="shared" si="83"/>
        <v>FAIL</v>
      </c>
    </row>
    <row r="156" spans="2:17">
      <c r="B156" s="12">
        <v>13</v>
      </c>
      <c r="C156" s="13">
        <f t="shared" si="72"/>
        <v>7</v>
      </c>
      <c r="D156" s="1"/>
      <c r="E156" s="12">
        <v>5</v>
      </c>
      <c r="F156" s="13">
        <f t="shared" si="73"/>
        <v>15</v>
      </c>
      <c r="G156" s="2"/>
      <c r="H156" s="6">
        <f t="shared" si="74"/>
        <v>0.65</v>
      </c>
      <c r="I156" s="32">
        <f t="shared" si="75"/>
        <v>0.46595518412280768</v>
      </c>
      <c r="J156" s="7">
        <f t="shared" si="76"/>
        <v>0.79810466844623185</v>
      </c>
      <c r="K156" s="6">
        <f t="shared" si="77"/>
        <v>0.25</v>
      </c>
      <c r="L156" s="32">
        <f t="shared" si="78"/>
        <v>0.12710822188096477</v>
      </c>
      <c r="M156" s="7">
        <f t="shared" si="79"/>
        <v>0.43280375963515361</v>
      </c>
      <c r="N156" s="6">
        <f t="shared" si="80"/>
        <v>0.4</v>
      </c>
      <c r="O156" s="32">
        <f t="shared" si="81"/>
        <v>0.1405974001903284</v>
      </c>
      <c r="P156" s="7">
        <f t="shared" si="82"/>
        <v>0.59245098582451183</v>
      </c>
      <c r="Q156" s="7" t="str">
        <f t="shared" si="83"/>
        <v>FAIL</v>
      </c>
    </row>
    <row r="157" spans="2:17">
      <c r="B157" s="12">
        <v>14</v>
      </c>
      <c r="C157" s="13">
        <f t="shared" si="72"/>
        <v>6</v>
      </c>
      <c r="D157" s="1"/>
      <c r="E157" s="12">
        <v>5</v>
      </c>
      <c r="F157" s="13">
        <f t="shared" si="73"/>
        <v>15</v>
      </c>
      <c r="G157" s="2"/>
      <c r="H157" s="6">
        <f t="shared" si="74"/>
        <v>0.7</v>
      </c>
      <c r="I157" s="32">
        <f t="shared" si="75"/>
        <v>0.51561697855622868</v>
      </c>
      <c r="J157" s="7">
        <f t="shared" si="76"/>
        <v>0.83646135789442599</v>
      </c>
      <c r="K157" s="6">
        <f t="shared" si="77"/>
        <v>0.25</v>
      </c>
      <c r="L157" s="32">
        <f t="shared" si="78"/>
        <v>0.12710822188096477</v>
      </c>
      <c r="M157" s="7">
        <f t="shared" si="79"/>
        <v>0.43280375963515361</v>
      </c>
      <c r="N157" s="6">
        <f t="shared" si="80"/>
        <v>0.44999999999999996</v>
      </c>
      <c r="O157" s="32">
        <f t="shared" si="81"/>
        <v>0.19035733568328711</v>
      </c>
      <c r="P157" s="7">
        <f t="shared" si="82"/>
        <v>0.63364120269604207</v>
      </c>
      <c r="Q157" s="7" t="str">
        <f t="shared" si="83"/>
        <v>FAIL</v>
      </c>
    </row>
    <row r="158" spans="2:17">
      <c r="B158" s="12">
        <v>15</v>
      </c>
      <c r="C158" s="13">
        <f t="shared" si="72"/>
        <v>5</v>
      </c>
      <c r="D158" s="1"/>
      <c r="E158" s="12">
        <v>5</v>
      </c>
      <c r="F158" s="13">
        <f t="shared" si="73"/>
        <v>15</v>
      </c>
      <c r="G158" s="2"/>
      <c r="H158" s="6">
        <f t="shared" si="74"/>
        <v>0.75</v>
      </c>
      <c r="I158" s="32">
        <f t="shared" si="75"/>
        <v>0.56720064128904046</v>
      </c>
      <c r="J158" s="7">
        <f t="shared" si="76"/>
        <v>0.87289617904322925</v>
      </c>
      <c r="K158" s="6">
        <f t="shared" si="77"/>
        <v>0.25</v>
      </c>
      <c r="L158" s="32">
        <f t="shared" si="78"/>
        <v>0.12710822188096477</v>
      </c>
      <c r="M158" s="7">
        <f t="shared" si="79"/>
        <v>0.43280375963515361</v>
      </c>
      <c r="N158" s="6">
        <f t="shared" si="80"/>
        <v>0.5</v>
      </c>
      <c r="O158" s="32">
        <f t="shared" si="81"/>
        <v>0.24147955577578573</v>
      </c>
      <c r="P158" s="7">
        <f t="shared" si="82"/>
        <v>0.67379833127128597</v>
      </c>
      <c r="Q158" s="7" t="str">
        <f t="shared" si="83"/>
        <v>FAIL</v>
      </c>
    </row>
    <row r="159" spans="2:17">
      <c r="B159" s="12">
        <v>16</v>
      </c>
      <c r="C159" s="13">
        <f t="shared" si="72"/>
        <v>4</v>
      </c>
      <c r="D159" s="1"/>
      <c r="E159" s="12">
        <v>5</v>
      </c>
      <c r="F159" s="13">
        <f t="shared" si="73"/>
        <v>15</v>
      </c>
      <c r="G159" s="2"/>
      <c r="H159" s="6">
        <f t="shared" si="74"/>
        <v>0.8</v>
      </c>
      <c r="I159" s="32">
        <f t="shared" si="75"/>
        <v>0.62101114036509186</v>
      </c>
      <c r="J159" s="7">
        <f t="shared" si="76"/>
        <v>0.907104163848793</v>
      </c>
      <c r="K159" s="6">
        <f t="shared" si="77"/>
        <v>0.25</v>
      </c>
      <c r="L159" s="32">
        <f t="shared" si="78"/>
        <v>0.12710822188096477</v>
      </c>
      <c r="M159" s="7">
        <f t="shared" si="79"/>
        <v>0.43280375963515361</v>
      </c>
      <c r="N159" s="6">
        <f t="shared" si="80"/>
        <v>0.55000000000000004</v>
      </c>
      <c r="O159" s="32">
        <f t="shared" si="81"/>
        <v>0.29415976389521553</v>
      </c>
      <c r="P159" s="7">
        <f t="shared" si="82"/>
        <v>0.71301438906736814</v>
      </c>
      <c r="Q159" s="7" t="str">
        <f t="shared" si="83"/>
        <v>FAIL</v>
      </c>
    </row>
    <row r="160" spans="2:17">
      <c r="B160" s="12">
        <v>17</v>
      </c>
      <c r="C160" s="13">
        <f t="shared" si="72"/>
        <v>3</v>
      </c>
      <c r="D160" s="1"/>
      <c r="E160" s="12">
        <v>5</v>
      </c>
      <c r="F160" s="13">
        <f t="shared" si="73"/>
        <v>15</v>
      </c>
      <c r="G160" s="2"/>
      <c r="H160" s="6">
        <f t="shared" si="74"/>
        <v>0.85</v>
      </c>
      <c r="I160" s="32">
        <f t="shared" si="75"/>
        <v>0.67754918969065736</v>
      </c>
      <c r="J160" s="7">
        <f t="shared" si="76"/>
        <v>0.93858459840484276</v>
      </c>
      <c r="K160" s="6">
        <f t="shared" si="77"/>
        <v>0.25</v>
      </c>
      <c r="L160" s="32">
        <f t="shared" si="78"/>
        <v>0.12710822188096477</v>
      </c>
      <c r="M160" s="7">
        <f t="shared" si="79"/>
        <v>0.43280375963515361</v>
      </c>
      <c r="N160" s="6">
        <f t="shared" si="80"/>
        <v>0.6</v>
      </c>
      <c r="O160" s="32">
        <f t="shared" si="81"/>
        <v>0.34869043688491302</v>
      </c>
      <c r="P160" s="7">
        <f t="shared" si="82"/>
        <v>0.75149132055601553</v>
      </c>
      <c r="Q160" s="7" t="str">
        <f t="shared" si="83"/>
        <v>FAIL</v>
      </c>
    </row>
    <row r="161" spans="2:17">
      <c r="B161" s="12">
        <v>18</v>
      </c>
      <c r="C161" s="13">
        <f t="shared" si="72"/>
        <v>2</v>
      </c>
      <c r="D161" s="1"/>
      <c r="E161" s="12">
        <v>5</v>
      </c>
      <c r="F161" s="13">
        <f t="shared" si="73"/>
        <v>15</v>
      </c>
      <c r="G161" s="2"/>
      <c r="H161" s="6">
        <f t="shared" si="74"/>
        <v>0.9</v>
      </c>
      <c r="I161" s="32">
        <f t="shared" si="75"/>
        <v>0.7377076948078376</v>
      </c>
      <c r="J161" s="7">
        <f t="shared" si="76"/>
        <v>0.96644457716927756</v>
      </c>
      <c r="K161" s="6">
        <f t="shared" si="77"/>
        <v>0.25</v>
      </c>
      <c r="L161" s="32">
        <f t="shared" si="78"/>
        <v>0.12710822188096477</v>
      </c>
      <c r="M161" s="7">
        <f t="shared" si="79"/>
        <v>0.43280375963515361</v>
      </c>
      <c r="N161" s="6">
        <f t="shared" si="80"/>
        <v>0.65</v>
      </c>
      <c r="O161" s="32">
        <f t="shared" si="81"/>
        <v>0.40554958199803992</v>
      </c>
      <c r="P161" s="7">
        <f t="shared" si="82"/>
        <v>0.78970422672368312</v>
      </c>
      <c r="Q161" s="7" t="str">
        <f t="shared" si="83"/>
        <v>FAIL</v>
      </c>
    </row>
    <row r="162" spans="2:17">
      <c r="B162" s="12">
        <v>19</v>
      </c>
      <c r="C162" s="13">
        <f t="shared" si="72"/>
        <v>1</v>
      </c>
      <c r="D162" s="1"/>
      <c r="E162" s="12">
        <v>5</v>
      </c>
      <c r="F162" s="13">
        <f t="shared" si="73"/>
        <v>15</v>
      </c>
      <c r="G162" s="2"/>
      <c r="H162" s="6">
        <f t="shared" si="74"/>
        <v>0.95</v>
      </c>
      <c r="I162" s="32">
        <f t="shared" si="75"/>
        <v>0.80335937249454403</v>
      </c>
      <c r="J162" s="7">
        <f t="shared" si="76"/>
        <v>0.98881138336418628</v>
      </c>
      <c r="K162" s="6">
        <f t="shared" si="77"/>
        <v>0.25</v>
      </c>
      <c r="L162" s="32">
        <f t="shared" si="78"/>
        <v>0.12710822188096477</v>
      </c>
      <c r="M162" s="7">
        <f t="shared" si="79"/>
        <v>0.43280375963515361</v>
      </c>
      <c r="N162" s="6">
        <f t="shared" si="80"/>
        <v>0.7</v>
      </c>
      <c r="O162" s="32">
        <f t="shared" si="81"/>
        <v>0.46564836639796831</v>
      </c>
      <c r="P162" s="7">
        <f t="shared" si="82"/>
        <v>0.82887479430788635</v>
      </c>
      <c r="Q162" s="7" t="str">
        <f t="shared" si="83"/>
        <v>FAIL</v>
      </c>
    </row>
    <row r="163" spans="2:17" ht="15" thickBot="1">
      <c r="B163" s="15">
        <v>20</v>
      </c>
      <c r="C163" s="14">
        <f t="shared" si="72"/>
        <v>0</v>
      </c>
      <c r="D163" s="1"/>
      <c r="E163" s="15">
        <v>5</v>
      </c>
      <c r="F163" s="14">
        <f t="shared" si="73"/>
        <v>15</v>
      </c>
      <c r="G163" s="2"/>
      <c r="H163" s="8">
        <f t="shared" si="74"/>
        <v>1</v>
      </c>
      <c r="I163" s="16">
        <f t="shared" si="75"/>
        <v>0.88018813951940023</v>
      </c>
      <c r="J163" s="9">
        <f t="shared" si="76"/>
        <v>1.0000011002209452</v>
      </c>
      <c r="K163" s="8">
        <f t="shared" si="77"/>
        <v>0.25</v>
      </c>
      <c r="L163" s="16">
        <f t="shared" si="78"/>
        <v>0.12710822188096477</v>
      </c>
      <c r="M163" s="9">
        <f t="shared" si="79"/>
        <v>0.43280375963515361</v>
      </c>
      <c r="N163" s="8">
        <f t="shared" si="80"/>
        <v>0.75</v>
      </c>
      <c r="O163" s="16">
        <f t="shared" si="81"/>
        <v>0.53143171216169138</v>
      </c>
      <c r="P163" s="9">
        <f t="shared" si="82"/>
        <v>0.87289177812396024</v>
      </c>
      <c r="Q163" s="9" t="str">
        <f t="shared" si="83"/>
        <v>FAIL</v>
      </c>
    </row>
    <row r="164" spans="2:17" ht="15" thickBot="1"/>
    <row r="165" spans="2:17">
      <c r="B165" s="3">
        <v>0</v>
      </c>
      <c r="C165" s="11">
        <f>20-B165</f>
        <v>20</v>
      </c>
      <c r="D165" s="1"/>
      <c r="E165" s="3">
        <v>6</v>
      </c>
      <c r="F165" s="11">
        <f>20-E165</f>
        <v>14</v>
      </c>
      <c r="G165" s="2"/>
      <c r="H165" s="5">
        <f>B165/SUM(B165:C165)</f>
        <v>0</v>
      </c>
      <c r="I165" s="41">
        <f>((B165+1.3613)-(1.65*SQRT(B165-(B165^2/SUM(B165:C165))+0.6806)))/(SUM(B165:C165)+2.7225)</f>
        <v>3.3007032488877747E-6</v>
      </c>
      <c r="J165" s="4">
        <f>((B165+1.3613)+(1.65*SQRT(B165-(B165^2/SUM(B165:C165))+0.6806)))/(SUM(B165:C165)+2.7225)</f>
        <v>0.1198162614047938</v>
      </c>
      <c r="K165" s="5">
        <f>E165/SUM(E165:F165)</f>
        <v>0.3</v>
      </c>
      <c r="L165" s="41">
        <f>((E165+1.3613)-(1.65*SQRT(E165-(E165^2/SUM(E165:F165))+0.6806)))/(SUM(E165:F165)+2.7225)</f>
        <v>0.16354304302976813</v>
      </c>
      <c r="M165" s="4">
        <f>((E165+1.3613)+(1.65*SQRT(E165-(E165^2/SUM(E165:F165))+0.6806)))/(SUM(E165:F165)+2.7225)</f>
        <v>0.48438742236796539</v>
      </c>
      <c r="N165" s="5">
        <f>H165-K165</f>
        <v>-0.3</v>
      </c>
      <c r="O165" s="41">
        <f>N165-SQRT((H165-I165)^2+(K165-M165)^2)</f>
        <v>-0.4843874223975082</v>
      </c>
      <c r="P165" s="4">
        <f>N165+SQRT((H165-J165)^2+(K165-L165)^2)</f>
        <v>-0.1184058436992049</v>
      </c>
      <c r="Q165" s="4" t="str">
        <f>IF(O165*P165&lt;0,"PASS","FAIL")</f>
        <v>FAIL</v>
      </c>
    </row>
    <row r="166" spans="2:17">
      <c r="B166" s="12">
        <v>1</v>
      </c>
      <c r="C166" s="13">
        <f t="shared" ref="C166:C185" si="84">20-B166</f>
        <v>19</v>
      </c>
      <c r="D166" s="1"/>
      <c r="E166" s="12">
        <v>6</v>
      </c>
      <c r="F166" s="13">
        <f t="shared" ref="F166:F185" si="85">20-E166</f>
        <v>14</v>
      </c>
      <c r="G166" s="2"/>
      <c r="H166" s="6">
        <f t="shared" ref="H166:H185" si="86">B166/SUM(B166:C166)</f>
        <v>0.05</v>
      </c>
      <c r="I166" s="32">
        <f t="shared" ref="I166:I185" si="87">((B166+1.3613)-(1.65*SQRT(B166-(B166^2/SUM(B166:C166))+0.6806)))/(SUM(B166:C166)+2.7225)</f>
        <v>1.1193017560007713E-2</v>
      </c>
      <c r="J166" s="7">
        <f t="shared" ref="J166:J185" si="88">((B166+1.3613)+(1.65*SQRT(B166-(B166^2/SUM(B166:C166))+0.6806)))/(SUM(B166:C166)+2.7225)</f>
        <v>0.19664502842965012</v>
      </c>
      <c r="K166" s="6">
        <f t="shared" ref="K166:K185" si="89">E166/SUM(E166:F166)</f>
        <v>0.3</v>
      </c>
      <c r="L166" s="32">
        <f t="shared" ref="L166:L185" si="90">((E166+1.3613)-(1.65*SQRT(E166-(E166^2/SUM(E166:F166))+0.6806)))/(SUM(E166:F166)+2.7225)</f>
        <v>0.16354304302976813</v>
      </c>
      <c r="M166" s="7">
        <f t="shared" ref="M166:M185" si="91">((E166+1.3613)+(1.65*SQRT(E166-(E166^2/SUM(E166:F166))+0.6806)))/(SUM(E166:F166)+2.7225)</f>
        <v>0.48438742236796539</v>
      </c>
      <c r="N166" s="6">
        <f t="shared" ref="N166:N185" si="92">H166-K166</f>
        <v>-0.25</v>
      </c>
      <c r="O166" s="32">
        <f t="shared" ref="O166:O185" si="93">N166-SQRT((H166-I166)^2+(K166-M166)^2)</f>
        <v>-0.43842691796449984</v>
      </c>
      <c r="P166" s="7">
        <f t="shared" ref="P166:P185" si="94">N166+SQRT((H166-J166)^2+(K166-L166)^2)</f>
        <v>-4.9687081123786253E-2</v>
      </c>
      <c r="Q166" s="7" t="str">
        <f t="shared" ref="Q166:Q185" si="95">IF(O166*P166&lt;0,"PASS","FAIL")</f>
        <v>FAIL</v>
      </c>
    </row>
    <row r="167" spans="2:17">
      <c r="B167" s="12">
        <v>2</v>
      </c>
      <c r="C167" s="13">
        <f t="shared" si="84"/>
        <v>18</v>
      </c>
      <c r="D167" s="1"/>
      <c r="E167" s="12">
        <v>6</v>
      </c>
      <c r="F167" s="13">
        <f t="shared" si="85"/>
        <v>14</v>
      </c>
      <c r="G167" s="2"/>
      <c r="H167" s="6">
        <f t="shared" si="86"/>
        <v>0.1</v>
      </c>
      <c r="I167" s="32">
        <f t="shared" si="87"/>
        <v>3.3559823754916465E-2</v>
      </c>
      <c r="J167" s="7">
        <f t="shared" si="88"/>
        <v>0.26229670611635653</v>
      </c>
      <c r="K167" s="6">
        <f t="shared" si="89"/>
        <v>0.3</v>
      </c>
      <c r="L167" s="32">
        <f t="shared" si="90"/>
        <v>0.16354304302976813</v>
      </c>
      <c r="M167" s="7">
        <f t="shared" si="91"/>
        <v>0.48438742236796539</v>
      </c>
      <c r="N167" s="6">
        <f t="shared" si="92"/>
        <v>-0.19999999999999998</v>
      </c>
      <c r="O167" s="32">
        <f t="shared" si="93"/>
        <v>-0.39599239410492493</v>
      </c>
      <c r="P167" s="7">
        <f t="shared" si="94"/>
        <v>1.203943482709699E-2</v>
      </c>
      <c r="Q167" s="7" t="str">
        <f t="shared" si="95"/>
        <v>PASS</v>
      </c>
    </row>
    <row r="168" spans="2:17">
      <c r="B168" s="12">
        <v>3</v>
      </c>
      <c r="C168" s="13">
        <f t="shared" si="84"/>
        <v>17</v>
      </c>
      <c r="D168" s="1"/>
      <c r="E168" s="12">
        <v>6</v>
      </c>
      <c r="F168" s="13">
        <f t="shared" si="85"/>
        <v>14</v>
      </c>
      <c r="G168" s="2"/>
      <c r="H168" s="6">
        <f t="shared" si="86"/>
        <v>0.15</v>
      </c>
      <c r="I168" s="32">
        <f t="shared" si="87"/>
        <v>6.1419802519351356E-2</v>
      </c>
      <c r="J168" s="7">
        <f t="shared" si="88"/>
        <v>0.32245521123353676</v>
      </c>
      <c r="K168" s="6">
        <f t="shared" si="89"/>
        <v>0.3</v>
      </c>
      <c r="L168" s="32">
        <f t="shared" si="90"/>
        <v>0.16354304302976813</v>
      </c>
      <c r="M168" s="7">
        <f t="shared" si="91"/>
        <v>0.48438742236796539</v>
      </c>
      <c r="N168" s="6">
        <f t="shared" si="92"/>
        <v>-0.15</v>
      </c>
      <c r="O168" s="32">
        <f t="shared" si="93"/>
        <v>-0.35456092714204535</v>
      </c>
      <c r="P168" s="7">
        <f t="shared" si="94"/>
        <v>6.9912030110177242E-2</v>
      </c>
      <c r="Q168" s="7" t="str">
        <f t="shared" si="95"/>
        <v>PASS</v>
      </c>
    </row>
    <row r="169" spans="2:17">
      <c r="B169" s="12">
        <v>4</v>
      </c>
      <c r="C169" s="13">
        <f t="shared" si="84"/>
        <v>16</v>
      </c>
      <c r="D169" s="1"/>
      <c r="E169" s="12">
        <v>6</v>
      </c>
      <c r="F169" s="13">
        <f t="shared" si="85"/>
        <v>14</v>
      </c>
      <c r="G169" s="2"/>
      <c r="H169" s="6">
        <f t="shared" si="86"/>
        <v>0.2</v>
      </c>
      <c r="I169" s="32">
        <f t="shared" si="87"/>
        <v>9.2900237075401015E-2</v>
      </c>
      <c r="J169" s="7">
        <f t="shared" si="88"/>
        <v>0.37899326055910226</v>
      </c>
      <c r="K169" s="6">
        <f t="shared" si="89"/>
        <v>0.3</v>
      </c>
      <c r="L169" s="32">
        <f t="shared" si="90"/>
        <v>0.16354304302976813</v>
      </c>
      <c r="M169" s="7">
        <f t="shared" si="91"/>
        <v>0.48438742236796539</v>
      </c>
      <c r="N169" s="6">
        <f t="shared" si="92"/>
        <v>-9.9999999999999978E-2</v>
      </c>
      <c r="O169" s="32">
        <f t="shared" si="93"/>
        <v>-0.31323480191096331</v>
      </c>
      <c r="P169" s="7">
        <f t="shared" si="94"/>
        <v>0.12507573932157678</v>
      </c>
      <c r="Q169" s="7" t="str">
        <f t="shared" si="95"/>
        <v>PASS</v>
      </c>
    </row>
    <row r="170" spans="2:17">
      <c r="B170" s="12">
        <v>5</v>
      </c>
      <c r="C170" s="13">
        <f t="shared" si="84"/>
        <v>15</v>
      </c>
      <c r="D170" s="1"/>
      <c r="E170" s="12">
        <v>6</v>
      </c>
      <c r="F170" s="13">
        <f t="shared" si="85"/>
        <v>14</v>
      </c>
      <c r="G170" s="2"/>
      <c r="H170" s="6">
        <f t="shared" si="86"/>
        <v>0.25</v>
      </c>
      <c r="I170" s="32">
        <f t="shared" si="87"/>
        <v>0.12710822188096477</v>
      </c>
      <c r="J170" s="7">
        <f t="shared" si="88"/>
        <v>0.43280375963515361</v>
      </c>
      <c r="K170" s="6">
        <f t="shared" si="89"/>
        <v>0.3</v>
      </c>
      <c r="L170" s="32">
        <f t="shared" si="90"/>
        <v>0.16354304302976813</v>
      </c>
      <c r="M170" s="7">
        <f t="shared" si="91"/>
        <v>0.48438742236796539</v>
      </c>
      <c r="N170" s="6">
        <f t="shared" si="92"/>
        <v>-4.9999999999999989E-2</v>
      </c>
      <c r="O170" s="32">
        <f t="shared" si="93"/>
        <v>-0.27158770420932804</v>
      </c>
      <c r="P170" s="7">
        <f t="shared" si="94"/>
        <v>0.17811776704659094</v>
      </c>
      <c r="Q170" s="7" t="str">
        <f t="shared" si="95"/>
        <v>PASS</v>
      </c>
    </row>
    <row r="171" spans="2:17">
      <c r="B171" s="12">
        <v>6</v>
      </c>
      <c r="C171" s="13">
        <f t="shared" si="84"/>
        <v>14</v>
      </c>
      <c r="D171" s="1"/>
      <c r="E171" s="12">
        <v>6</v>
      </c>
      <c r="F171" s="13">
        <f t="shared" si="85"/>
        <v>14</v>
      </c>
      <c r="G171" s="2"/>
      <c r="H171" s="6">
        <f t="shared" si="86"/>
        <v>0.3</v>
      </c>
      <c r="I171" s="32">
        <f t="shared" si="87"/>
        <v>0.16354304302976813</v>
      </c>
      <c r="J171" s="7">
        <f t="shared" si="88"/>
        <v>0.48438742236796539</v>
      </c>
      <c r="K171" s="6">
        <f t="shared" si="89"/>
        <v>0.3</v>
      </c>
      <c r="L171" s="32">
        <f t="shared" si="90"/>
        <v>0.16354304302976813</v>
      </c>
      <c r="M171" s="7">
        <f t="shared" si="91"/>
        <v>0.48438742236796539</v>
      </c>
      <c r="N171" s="6">
        <f t="shared" si="92"/>
        <v>0</v>
      </c>
      <c r="O171" s="32">
        <f t="shared" si="93"/>
        <v>-0.22938880232713665</v>
      </c>
      <c r="P171" s="7">
        <f t="shared" si="94"/>
        <v>0.22938880232713665</v>
      </c>
      <c r="Q171" s="7" t="str">
        <f t="shared" si="95"/>
        <v>PASS</v>
      </c>
    </row>
    <row r="172" spans="2:17">
      <c r="B172" s="12">
        <v>7</v>
      </c>
      <c r="C172" s="13">
        <f t="shared" si="84"/>
        <v>13</v>
      </c>
      <c r="D172" s="1"/>
      <c r="E172" s="12">
        <v>6</v>
      </c>
      <c r="F172" s="13">
        <f t="shared" si="85"/>
        <v>14</v>
      </c>
      <c r="G172" s="2"/>
      <c r="H172" s="6">
        <f t="shared" si="86"/>
        <v>0.35</v>
      </c>
      <c r="I172" s="32">
        <f t="shared" si="87"/>
        <v>0.20189973247796225</v>
      </c>
      <c r="J172" s="7">
        <f t="shared" si="88"/>
        <v>0.53404921680138639</v>
      </c>
      <c r="K172" s="6">
        <f t="shared" si="89"/>
        <v>0.3</v>
      </c>
      <c r="L172" s="32">
        <f t="shared" si="90"/>
        <v>0.16354304302976813</v>
      </c>
      <c r="M172" s="7">
        <f t="shared" si="91"/>
        <v>0.48438742236796539</v>
      </c>
      <c r="N172" s="6">
        <f t="shared" si="92"/>
        <v>4.9999999999999989E-2</v>
      </c>
      <c r="O172" s="32">
        <f t="shared" si="93"/>
        <v>-0.18650033988897693</v>
      </c>
      <c r="P172" s="7">
        <f t="shared" si="94"/>
        <v>0.27911703409126842</v>
      </c>
      <c r="Q172" s="7" t="str">
        <f t="shared" si="95"/>
        <v>PASS</v>
      </c>
    </row>
    <row r="173" spans="2:17">
      <c r="B173" s="12">
        <v>8</v>
      </c>
      <c r="C173" s="13">
        <f t="shared" si="84"/>
        <v>12</v>
      </c>
      <c r="D173" s="1"/>
      <c r="E173" s="12">
        <v>6</v>
      </c>
      <c r="F173" s="13">
        <f t="shared" si="85"/>
        <v>14</v>
      </c>
      <c r="G173" s="2"/>
      <c r="H173" s="6">
        <f t="shared" si="86"/>
        <v>0.4</v>
      </c>
      <c r="I173" s="32">
        <f t="shared" si="87"/>
        <v>0.24198647075497337</v>
      </c>
      <c r="J173" s="7">
        <f t="shared" si="88"/>
        <v>0.5819809624059904</v>
      </c>
      <c r="K173" s="6">
        <f t="shared" si="89"/>
        <v>0.3</v>
      </c>
      <c r="L173" s="32">
        <f t="shared" si="90"/>
        <v>0.16354304302976813</v>
      </c>
      <c r="M173" s="7">
        <f t="shared" si="91"/>
        <v>0.48438742236796539</v>
      </c>
      <c r="N173" s="6">
        <f t="shared" si="92"/>
        <v>0.10000000000000003</v>
      </c>
      <c r="O173" s="32">
        <f t="shared" si="93"/>
        <v>-0.14283121082754444</v>
      </c>
      <c r="P173" s="7">
        <f t="shared" si="94"/>
        <v>0.32745894527097896</v>
      </c>
      <c r="Q173" s="7" t="str">
        <f t="shared" si="95"/>
        <v>PASS</v>
      </c>
    </row>
    <row r="174" spans="2:17">
      <c r="B174" s="12">
        <v>9</v>
      </c>
      <c r="C174" s="13">
        <f t="shared" si="84"/>
        <v>11</v>
      </c>
      <c r="D174" s="1"/>
      <c r="E174" s="12">
        <v>6</v>
      </c>
      <c r="F174" s="13">
        <f t="shared" si="85"/>
        <v>14</v>
      </c>
      <c r="G174" s="2"/>
      <c r="H174" s="6">
        <f t="shared" si="86"/>
        <v>0.45</v>
      </c>
      <c r="I174" s="32">
        <f t="shared" si="87"/>
        <v>0.28368506621578338</v>
      </c>
      <c r="J174" s="7">
        <f t="shared" si="88"/>
        <v>0.62830085082679554</v>
      </c>
      <c r="K174" s="6">
        <f t="shared" si="89"/>
        <v>0.3</v>
      </c>
      <c r="L174" s="32">
        <f t="shared" si="90"/>
        <v>0.16354304302976813</v>
      </c>
      <c r="M174" s="7">
        <f t="shared" si="91"/>
        <v>0.48438742236796539</v>
      </c>
      <c r="N174" s="6">
        <f t="shared" si="92"/>
        <v>0.15000000000000002</v>
      </c>
      <c r="O174" s="32">
        <f t="shared" si="93"/>
        <v>-9.8313065961400464E-2</v>
      </c>
      <c r="P174" s="7">
        <f t="shared" si="94"/>
        <v>0.3745254874421497</v>
      </c>
      <c r="Q174" s="7" t="str">
        <f t="shared" si="95"/>
        <v>PASS</v>
      </c>
    </row>
    <row r="175" spans="2:17">
      <c r="B175" s="12">
        <v>10</v>
      </c>
      <c r="C175" s="13">
        <f t="shared" si="84"/>
        <v>10</v>
      </c>
      <c r="D175" s="1"/>
      <c r="E175" s="12">
        <v>6</v>
      </c>
      <c r="F175" s="13">
        <f t="shared" si="85"/>
        <v>14</v>
      </c>
      <c r="G175" s="2"/>
      <c r="H175" s="6">
        <f t="shared" si="86"/>
        <v>0.5</v>
      </c>
      <c r="I175" s="32">
        <f t="shared" si="87"/>
        <v>0.32693094787634341</v>
      </c>
      <c r="J175" s="7">
        <f t="shared" si="88"/>
        <v>0.6730734530478506</v>
      </c>
      <c r="K175" s="6">
        <f t="shared" si="89"/>
        <v>0.3</v>
      </c>
      <c r="L175" s="32">
        <f t="shared" si="90"/>
        <v>0.16354304302976813</v>
      </c>
      <c r="M175" s="7">
        <f t="shared" si="91"/>
        <v>0.48438742236796539</v>
      </c>
      <c r="N175" s="6">
        <f t="shared" si="92"/>
        <v>0.2</v>
      </c>
      <c r="O175" s="32">
        <f t="shared" si="93"/>
        <v>-5.2886572064400894E-2</v>
      </c>
      <c r="P175" s="7">
        <f t="shared" si="94"/>
        <v>0.42039718976312346</v>
      </c>
      <c r="Q175" s="7" t="str">
        <f t="shared" si="95"/>
        <v>PASS</v>
      </c>
    </row>
    <row r="176" spans="2:17">
      <c r="B176" s="12">
        <v>11</v>
      </c>
      <c r="C176" s="13">
        <f t="shared" si="84"/>
        <v>9</v>
      </c>
      <c r="D176" s="1"/>
      <c r="E176" s="12">
        <v>6</v>
      </c>
      <c r="F176" s="13">
        <f t="shared" si="85"/>
        <v>14</v>
      </c>
      <c r="G176" s="2"/>
      <c r="H176" s="6">
        <f t="shared" si="86"/>
        <v>0.55000000000000004</v>
      </c>
      <c r="I176" s="32">
        <f t="shared" si="87"/>
        <v>0.37170355009739847</v>
      </c>
      <c r="J176" s="7">
        <f t="shared" si="88"/>
        <v>0.71631933470841069</v>
      </c>
      <c r="K176" s="6">
        <f t="shared" si="89"/>
        <v>0.3</v>
      </c>
      <c r="L176" s="32">
        <f t="shared" si="90"/>
        <v>0.16354304302976813</v>
      </c>
      <c r="M176" s="7">
        <f t="shared" si="91"/>
        <v>0.48438742236796539</v>
      </c>
      <c r="N176" s="6">
        <f t="shared" si="92"/>
        <v>0.25000000000000006</v>
      </c>
      <c r="O176" s="32">
        <f t="shared" si="93"/>
        <v>-6.4923889228944431E-3</v>
      </c>
      <c r="P176" s="7">
        <f t="shared" si="94"/>
        <v>0.46513396338891744</v>
      </c>
      <c r="Q176" s="7" t="str">
        <f t="shared" si="95"/>
        <v>PASS</v>
      </c>
    </row>
    <row r="177" spans="2:17">
      <c r="B177" s="12">
        <v>12</v>
      </c>
      <c r="C177" s="13">
        <f t="shared" si="84"/>
        <v>8</v>
      </c>
      <c r="D177" s="1"/>
      <c r="E177" s="12">
        <v>6</v>
      </c>
      <c r="F177" s="13">
        <f t="shared" si="85"/>
        <v>14</v>
      </c>
      <c r="G177" s="2"/>
      <c r="H177" s="6">
        <f t="shared" si="86"/>
        <v>0.6</v>
      </c>
      <c r="I177" s="32">
        <f t="shared" si="87"/>
        <v>0.41802343851820367</v>
      </c>
      <c r="J177" s="7">
        <f t="shared" si="88"/>
        <v>0.75801793016922059</v>
      </c>
      <c r="K177" s="6">
        <f t="shared" si="89"/>
        <v>0.3</v>
      </c>
      <c r="L177" s="32">
        <f t="shared" si="90"/>
        <v>0.16354304302976813</v>
      </c>
      <c r="M177" s="7">
        <f t="shared" si="91"/>
        <v>0.48438742236796539</v>
      </c>
      <c r="N177" s="6">
        <f t="shared" si="92"/>
        <v>0.3</v>
      </c>
      <c r="O177" s="32">
        <f t="shared" si="93"/>
        <v>4.0935933683884929E-2</v>
      </c>
      <c r="P177" s="7">
        <f t="shared" si="94"/>
        <v>0.50878258394928533</v>
      </c>
      <c r="Q177" s="7" t="str">
        <f t="shared" si="95"/>
        <v>FAIL</v>
      </c>
    </row>
    <row r="178" spans="2:17">
      <c r="B178" s="12">
        <v>13</v>
      </c>
      <c r="C178" s="13">
        <f t="shared" si="84"/>
        <v>7</v>
      </c>
      <c r="D178" s="1"/>
      <c r="E178" s="12">
        <v>6</v>
      </c>
      <c r="F178" s="13">
        <f t="shared" si="85"/>
        <v>14</v>
      </c>
      <c r="G178" s="2"/>
      <c r="H178" s="6">
        <f t="shared" si="86"/>
        <v>0.65</v>
      </c>
      <c r="I178" s="32">
        <f t="shared" si="87"/>
        <v>0.46595518412280768</v>
      </c>
      <c r="J178" s="7">
        <f t="shared" si="88"/>
        <v>0.79810466844623185</v>
      </c>
      <c r="K178" s="6">
        <f t="shared" si="89"/>
        <v>0.3</v>
      </c>
      <c r="L178" s="32">
        <f t="shared" si="90"/>
        <v>0.16354304302976813</v>
      </c>
      <c r="M178" s="7">
        <f t="shared" si="91"/>
        <v>0.48438742236796539</v>
      </c>
      <c r="N178" s="6">
        <f t="shared" si="92"/>
        <v>0.35000000000000003</v>
      </c>
      <c r="O178" s="32">
        <f t="shared" si="93"/>
        <v>8.9478953290195617E-2</v>
      </c>
      <c r="P178" s="7">
        <f t="shared" si="94"/>
        <v>0.5513839465328455</v>
      </c>
      <c r="Q178" s="7" t="str">
        <f t="shared" si="95"/>
        <v>FAIL</v>
      </c>
    </row>
    <row r="179" spans="2:17">
      <c r="B179" s="12">
        <v>14</v>
      </c>
      <c r="C179" s="13">
        <f t="shared" si="84"/>
        <v>6</v>
      </c>
      <c r="D179" s="1"/>
      <c r="E179" s="12">
        <v>6</v>
      </c>
      <c r="F179" s="13">
        <f t="shared" si="85"/>
        <v>14</v>
      </c>
      <c r="G179" s="2"/>
      <c r="H179" s="6">
        <f t="shared" si="86"/>
        <v>0.7</v>
      </c>
      <c r="I179" s="32">
        <f t="shared" si="87"/>
        <v>0.51561697855622868</v>
      </c>
      <c r="J179" s="7">
        <f t="shared" si="88"/>
        <v>0.83646135789442599</v>
      </c>
      <c r="K179" s="6">
        <f t="shared" si="89"/>
        <v>0.3</v>
      </c>
      <c r="L179" s="32">
        <f t="shared" si="90"/>
        <v>0.16354304302976813</v>
      </c>
      <c r="M179" s="7">
        <f t="shared" si="91"/>
        <v>0.48438742236796539</v>
      </c>
      <c r="N179" s="6">
        <f t="shared" si="92"/>
        <v>0.39999999999999997</v>
      </c>
      <c r="O179" s="32">
        <f t="shared" si="93"/>
        <v>0.13923991846097933</v>
      </c>
      <c r="P179" s="7">
        <f t="shared" si="94"/>
        <v>0.59298239117589546</v>
      </c>
      <c r="Q179" s="7" t="str">
        <f t="shared" si="95"/>
        <v>FAIL</v>
      </c>
    </row>
    <row r="180" spans="2:17">
      <c r="B180" s="12">
        <v>15</v>
      </c>
      <c r="C180" s="13">
        <f t="shared" si="84"/>
        <v>5</v>
      </c>
      <c r="D180" s="1"/>
      <c r="E180" s="12">
        <v>6</v>
      </c>
      <c r="F180" s="13">
        <f t="shared" si="85"/>
        <v>14</v>
      </c>
      <c r="G180" s="2"/>
      <c r="H180" s="6">
        <f t="shared" si="86"/>
        <v>0.75</v>
      </c>
      <c r="I180" s="32">
        <f t="shared" si="87"/>
        <v>0.56720064128904046</v>
      </c>
      <c r="J180" s="7">
        <f t="shared" si="88"/>
        <v>0.87289617904322925</v>
      </c>
      <c r="K180" s="6">
        <f t="shared" si="89"/>
        <v>0.3</v>
      </c>
      <c r="L180" s="32">
        <f t="shared" si="90"/>
        <v>0.16354304302976813</v>
      </c>
      <c r="M180" s="7">
        <f t="shared" si="91"/>
        <v>0.48438742236796539</v>
      </c>
      <c r="N180" s="6">
        <f t="shared" si="92"/>
        <v>0.45</v>
      </c>
      <c r="O180" s="32">
        <f t="shared" si="93"/>
        <v>0.19035730884032087</v>
      </c>
      <c r="P180" s="7">
        <f t="shared" si="94"/>
        <v>0.63364087760899301</v>
      </c>
      <c r="Q180" s="7" t="str">
        <f t="shared" si="95"/>
        <v>FAIL</v>
      </c>
    </row>
    <row r="181" spans="2:17">
      <c r="B181" s="12">
        <v>16</v>
      </c>
      <c r="C181" s="13">
        <f t="shared" si="84"/>
        <v>4</v>
      </c>
      <c r="D181" s="1"/>
      <c r="E181" s="12">
        <v>6</v>
      </c>
      <c r="F181" s="13">
        <f t="shared" si="85"/>
        <v>14</v>
      </c>
      <c r="G181" s="2"/>
      <c r="H181" s="6">
        <f t="shared" si="86"/>
        <v>0.8</v>
      </c>
      <c r="I181" s="32">
        <f t="shared" si="87"/>
        <v>0.62101114036509186</v>
      </c>
      <c r="J181" s="7">
        <f t="shared" si="88"/>
        <v>0.907104163848793</v>
      </c>
      <c r="K181" s="6">
        <f t="shared" si="89"/>
        <v>0.3</v>
      </c>
      <c r="L181" s="32">
        <f t="shared" si="90"/>
        <v>0.16354304302976813</v>
      </c>
      <c r="M181" s="7">
        <f t="shared" si="91"/>
        <v>0.48438742236796539</v>
      </c>
      <c r="N181" s="6">
        <f t="shared" si="92"/>
        <v>0.5</v>
      </c>
      <c r="O181" s="32">
        <f t="shared" si="93"/>
        <v>0.24302581180027566</v>
      </c>
      <c r="P181" s="7">
        <f t="shared" si="94"/>
        <v>0.6734698908148754</v>
      </c>
      <c r="Q181" s="7" t="str">
        <f t="shared" si="95"/>
        <v>FAIL</v>
      </c>
    </row>
    <row r="182" spans="2:17">
      <c r="B182" s="12">
        <v>17</v>
      </c>
      <c r="C182" s="13">
        <f t="shared" si="84"/>
        <v>3</v>
      </c>
      <c r="D182" s="1"/>
      <c r="E182" s="12">
        <v>6</v>
      </c>
      <c r="F182" s="13">
        <f t="shared" si="85"/>
        <v>14</v>
      </c>
      <c r="G182" s="2"/>
      <c r="H182" s="6">
        <f t="shared" si="86"/>
        <v>0.85</v>
      </c>
      <c r="I182" s="32">
        <f t="shared" si="87"/>
        <v>0.67754918969065736</v>
      </c>
      <c r="J182" s="7">
        <f t="shared" si="88"/>
        <v>0.93858459840484276</v>
      </c>
      <c r="K182" s="6">
        <f t="shared" si="89"/>
        <v>0.3</v>
      </c>
      <c r="L182" s="32">
        <f t="shared" si="90"/>
        <v>0.16354304302976813</v>
      </c>
      <c r="M182" s="7">
        <f t="shared" si="91"/>
        <v>0.48438742236796539</v>
      </c>
      <c r="N182" s="6">
        <f t="shared" si="92"/>
        <v>0.55000000000000004</v>
      </c>
      <c r="O182" s="32">
        <f t="shared" si="93"/>
        <v>0.29753613426105646</v>
      </c>
      <c r="P182" s="7">
        <f t="shared" si="94"/>
        <v>0.71268906595135095</v>
      </c>
      <c r="Q182" s="7" t="str">
        <f t="shared" si="95"/>
        <v>FAIL</v>
      </c>
    </row>
    <row r="183" spans="2:17">
      <c r="B183" s="12">
        <v>18</v>
      </c>
      <c r="C183" s="13">
        <f t="shared" si="84"/>
        <v>2</v>
      </c>
      <c r="D183" s="1"/>
      <c r="E183" s="12">
        <v>6</v>
      </c>
      <c r="F183" s="13">
        <f t="shared" si="85"/>
        <v>14</v>
      </c>
      <c r="G183" s="2"/>
      <c r="H183" s="6">
        <f t="shared" si="86"/>
        <v>0.9</v>
      </c>
      <c r="I183" s="32">
        <f t="shared" si="87"/>
        <v>0.7377076948078376</v>
      </c>
      <c r="J183" s="7">
        <f t="shared" si="88"/>
        <v>0.96644457716927756</v>
      </c>
      <c r="K183" s="6">
        <f t="shared" si="89"/>
        <v>0.3</v>
      </c>
      <c r="L183" s="32">
        <f t="shared" si="90"/>
        <v>0.16354304302976813</v>
      </c>
      <c r="M183" s="7">
        <f t="shared" si="91"/>
        <v>0.48438742236796539</v>
      </c>
      <c r="N183" s="6">
        <f t="shared" si="92"/>
        <v>0.60000000000000009</v>
      </c>
      <c r="O183" s="32">
        <f t="shared" si="93"/>
        <v>0.35436304461240281</v>
      </c>
      <c r="P183" s="7">
        <f t="shared" si="94"/>
        <v>0.75177411815187667</v>
      </c>
      <c r="Q183" s="7" t="str">
        <f t="shared" si="95"/>
        <v>FAIL</v>
      </c>
    </row>
    <row r="184" spans="2:17">
      <c r="B184" s="12">
        <v>19</v>
      </c>
      <c r="C184" s="13">
        <f t="shared" si="84"/>
        <v>1</v>
      </c>
      <c r="D184" s="1"/>
      <c r="E184" s="12">
        <v>6</v>
      </c>
      <c r="F184" s="13">
        <f t="shared" si="85"/>
        <v>14</v>
      </c>
      <c r="G184" s="2"/>
      <c r="H184" s="6">
        <f t="shared" si="86"/>
        <v>0.95</v>
      </c>
      <c r="I184" s="32">
        <f t="shared" si="87"/>
        <v>0.80335937249454403</v>
      </c>
      <c r="J184" s="7">
        <f t="shared" si="88"/>
        <v>0.98881138336418628</v>
      </c>
      <c r="K184" s="6">
        <f t="shared" si="89"/>
        <v>0.3</v>
      </c>
      <c r="L184" s="32">
        <f t="shared" si="90"/>
        <v>0.16354304302976813</v>
      </c>
      <c r="M184" s="7">
        <f t="shared" si="91"/>
        <v>0.48438742236796539</v>
      </c>
      <c r="N184" s="6">
        <f t="shared" si="92"/>
        <v>0.64999999999999991</v>
      </c>
      <c r="O184" s="32">
        <f t="shared" si="93"/>
        <v>0.41441096128491806</v>
      </c>
      <c r="P184" s="7">
        <f t="shared" si="94"/>
        <v>0.79186904025973226</v>
      </c>
      <c r="Q184" s="7" t="str">
        <f t="shared" si="95"/>
        <v>FAIL</v>
      </c>
    </row>
    <row r="185" spans="2:17" ht="15" thickBot="1">
      <c r="B185" s="15">
        <v>20</v>
      </c>
      <c r="C185" s="14">
        <f t="shared" si="84"/>
        <v>0</v>
      </c>
      <c r="D185" s="1"/>
      <c r="E185" s="15">
        <v>6</v>
      </c>
      <c r="F185" s="14">
        <f t="shared" si="85"/>
        <v>14</v>
      </c>
      <c r="G185" s="2"/>
      <c r="H185" s="8">
        <f t="shared" si="86"/>
        <v>1</v>
      </c>
      <c r="I185" s="16">
        <f t="shared" si="87"/>
        <v>0.88018813951940023</v>
      </c>
      <c r="J185" s="9">
        <f t="shared" si="88"/>
        <v>1.0000011002209452</v>
      </c>
      <c r="K185" s="8">
        <f t="shared" si="89"/>
        <v>0.3</v>
      </c>
      <c r="L185" s="16">
        <f t="shared" si="90"/>
        <v>0.16354304302976813</v>
      </c>
      <c r="M185" s="9">
        <f t="shared" si="91"/>
        <v>0.48438742236796539</v>
      </c>
      <c r="N185" s="8">
        <f t="shared" si="92"/>
        <v>0.7</v>
      </c>
      <c r="O185" s="16">
        <f t="shared" si="93"/>
        <v>0.48010547201140907</v>
      </c>
      <c r="P185" s="9">
        <f t="shared" si="94"/>
        <v>0.83645695697466727</v>
      </c>
      <c r="Q185" s="9" t="str">
        <f t="shared" si="95"/>
        <v>FAIL</v>
      </c>
    </row>
    <row r="186" spans="2:17" ht="15" thickBot="1"/>
    <row r="187" spans="2:17">
      <c r="B187" s="3">
        <v>0</v>
      </c>
      <c r="C187" s="11">
        <f>20-B187</f>
        <v>20</v>
      </c>
      <c r="D187" s="1"/>
      <c r="E187" s="3">
        <v>7</v>
      </c>
      <c r="F187" s="11">
        <f>20-E187</f>
        <v>13</v>
      </c>
      <c r="G187" s="2"/>
      <c r="H187" s="5">
        <f>B187/SUM(B187:C187)</f>
        <v>0</v>
      </c>
      <c r="I187" s="41">
        <f>((B187+1.3613)-(1.65*SQRT(B187-(B187^2/SUM(B187:C187))+0.6806)))/(SUM(B187:C187)+2.7225)</f>
        <v>3.3007032488877747E-6</v>
      </c>
      <c r="J187" s="4">
        <f>((B187+1.3613)+(1.65*SQRT(B187-(B187^2/SUM(B187:C187))+0.6806)))/(SUM(B187:C187)+2.7225)</f>
        <v>0.1198162614047938</v>
      </c>
      <c r="K187" s="5">
        <f>E187/SUM(E187:F187)</f>
        <v>0.35</v>
      </c>
      <c r="L187" s="41">
        <f>((E187+1.3613)-(1.65*SQRT(E187-(E187^2/SUM(E187:F187))+0.6806)))/(SUM(E187:F187)+2.7225)</f>
        <v>0.20189973247796225</v>
      </c>
      <c r="M187" s="4">
        <f>((E187+1.3613)+(1.65*SQRT(E187-(E187^2/SUM(E187:F187))+0.6806)))/(SUM(E187:F187)+2.7225)</f>
        <v>0.53404921680138639</v>
      </c>
      <c r="N187" s="5">
        <f>H187-K187</f>
        <v>-0.35</v>
      </c>
      <c r="O187" s="41">
        <f>N187-SQRT((H187-I187)^2+(K187-M187)^2)</f>
        <v>-0.5340492168309835</v>
      </c>
      <c r="P187" s="4">
        <f>N187+SQRT((H187-J187)^2+(K187-L187)^2)</f>
        <v>-0.15950163849229299</v>
      </c>
      <c r="Q187" s="4" t="str">
        <f>IF(O187*P187&lt;0,"PASS","FAIL")</f>
        <v>FAIL</v>
      </c>
    </row>
    <row r="188" spans="2:17">
      <c r="B188" s="12">
        <v>1</v>
      </c>
      <c r="C188" s="13">
        <f t="shared" ref="C188:C207" si="96">20-B188</f>
        <v>19</v>
      </c>
      <c r="D188" s="1"/>
      <c r="E188" s="12">
        <v>7</v>
      </c>
      <c r="F188" s="13">
        <f t="shared" ref="F188:F207" si="97">20-E188</f>
        <v>13</v>
      </c>
      <c r="G188" s="2"/>
      <c r="H188" s="6">
        <f t="shared" ref="H188:H207" si="98">B188/SUM(B188:C188)</f>
        <v>0.05</v>
      </c>
      <c r="I188" s="32">
        <f t="shared" ref="I188:I207" si="99">((B188+1.3613)-(1.65*SQRT(B188-(B188^2/SUM(B188:C188))+0.6806)))/(SUM(B188:C188)+2.7225)</f>
        <v>1.1193017560007713E-2</v>
      </c>
      <c r="J188" s="7">
        <f t="shared" ref="J188:J207" si="100">((B188+1.3613)+(1.65*SQRT(B188-(B188^2/SUM(B188:C188))+0.6806)))/(SUM(B188:C188)+2.7225)</f>
        <v>0.19664502842965012</v>
      </c>
      <c r="K188" s="6">
        <f t="shared" ref="K188:K207" si="101">E188/SUM(E188:F188)</f>
        <v>0.35</v>
      </c>
      <c r="L188" s="32">
        <f t="shared" ref="L188:L207" si="102">((E188+1.3613)-(1.65*SQRT(E188-(E188^2/SUM(E188:F188))+0.6806)))/(SUM(E188:F188)+2.7225)</f>
        <v>0.20189973247796225</v>
      </c>
      <c r="M188" s="7">
        <f t="shared" ref="M188:M207" si="103">((E188+1.3613)+(1.65*SQRT(E188-(E188^2/SUM(E188:F188))+0.6806)))/(SUM(E188:F188)+2.7225)</f>
        <v>0.53404921680138639</v>
      </c>
      <c r="N188" s="6">
        <f t="shared" ref="N188:N207" si="104">H188-K188</f>
        <v>-0.3</v>
      </c>
      <c r="O188" s="32">
        <f t="shared" ref="O188:O207" si="105">N188-SQRT((H188-I188)^2+(K188-M188)^2)</f>
        <v>-0.48809597574456931</v>
      </c>
      <c r="P188" s="7">
        <f t="shared" ref="P188:P207" si="106">N188+SQRT((H188-J188)^2+(K188-L188)^2)</f>
        <v>-9.1581062273045744E-2</v>
      </c>
      <c r="Q188" s="7" t="str">
        <f t="shared" ref="Q188:Q207" si="107">IF(O188*P188&lt;0,"PASS","FAIL")</f>
        <v>FAIL</v>
      </c>
    </row>
    <row r="189" spans="2:17">
      <c r="B189" s="12">
        <v>2</v>
      </c>
      <c r="C189" s="13">
        <f t="shared" si="96"/>
        <v>18</v>
      </c>
      <c r="D189" s="1"/>
      <c r="E189" s="12">
        <v>7</v>
      </c>
      <c r="F189" s="13">
        <f t="shared" si="97"/>
        <v>13</v>
      </c>
      <c r="G189" s="2"/>
      <c r="H189" s="6">
        <f t="shared" si="98"/>
        <v>0.1</v>
      </c>
      <c r="I189" s="32">
        <f t="shared" si="99"/>
        <v>3.3559823754916465E-2</v>
      </c>
      <c r="J189" s="7">
        <f t="shared" si="100"/>
        <v>0.26229670611635653</v>
      </c>
      <c r="K189" s="6">
        <f t="shared" si="101"/>
        <v>0.35</v>
      </c>
      <c r="L189" s="32">
        <f t="shared" si="102"/>
        <v>0.20189973247796225</v>
      </c>
      <c r="M189" s="7">
        <f t="shared" si="103"/>
        <v>0.53404921680138639</v>
      </c>
      <c r="N189" s="6">
        <f t="shared" si="104"/>
        <v>-0.24999999999999997</v>
      </c>
      <c r="O189" s="32">
        <f t="shared" si="105"/>
        <v>-0.44567424772994912</v>
      </c>
      <c r="P189" s="7">
        <f t="shared" si="106"/>
        <v>-3.0286754936535182E-2</v>
      </c>
      <c r="Q189" s="7" t="str">
        <f t="shared" si="107"/>
        <v>FAIL</v>
      </c>
    </row>
    <row r="190" spans="2:17">
      <c r="B190" s="12">
        <v>3</v>
      </c>
      <c r="C190" s="13">
        <f t="shared" si="96"/>
        <v>17</v>
      </c>
      <c r="D190" s="1"/>
      <c r="E190" s="12">
        <v>7</v>
      </c>
      <c r="F190" s="13">
        <f t="shared" si="97"/>
        <v>13</v>
      </c>
      <c r="G190" s="2"/>
      <c r="H190" s="6">
        <f t="shared" si="98"/>
        <v>0.15</v>
      </c>
      <c r="I190" s="32">
        <f t="shared" si="99"/>
        <v>6.1419802519351356E-2</v>
      </c>
      <c r="J190" s="7">
        <f t="shared" si="100"/>
        <v>0.32245521123353676</v>
      </c>
      <c r="K190" s="6">
        <f t="shared" si="101"/>
        <v>0.35</v>
      </c>
      <c r="L190" s="32">
        <f t="shared" si="102"/>
        <v>0.20189973247796225</v>
      </c>
      <c r="M190" s="7">
        <f t="shared" si="103"/>
        <v>0.53404921680138639</v>
      </c>
      <c r="N190" s="6">
        <f t="shared" si="104"/>
        <v>-0.19999999999999998</v>
      </c>
      <c r="O190" s="32">
        <f t="shared" si="105"/>
        <v>-0.40425612742562811</v>
      </c>
      <c r="P190" s="7">
        <f t="shared" si="106"/>
        <v>2.7320234738799576E-2</v>
      </c>
      <c r="Q190" s="7" t="str">
        <f t="shared" si="107"/>
        <v>PASS</v>
      </c>
    </row>
    <row r="191" spans="2:17">
      <c r="B191" s="12">
        <v>4</v>
      </c>
      <c r="C191" s="13">
        <f t="shared" si="96"/>
        <v>16</v>
      </c>
      <c r="D191" s="1"/>
      <c r="E191" s="12">
        <v>7</v>
      </c>
      <c r="F191" s="13">
        <f t="shared" si="97"/>
        <v>13</v>
      </c>
      <c r="G191" s="2"/>
      <c r="H191" s="6">
        <f t="shared" si="98"/>
        <v>0.2</v>
      </c>
      <c r="I191" s="32">
        <f t="shared" si="99"/>
        <v>9.2900237075401015E-2</v>
      </c>
      <c r="J191" s="7">
        <f t="shared" si="100"/>
        <v>0.37899326055910226</v>
      </c>
      <c r="K191" s="6">
        <f t="shared" si="101"/>
        <v>0.35</v>
      </c>
      <c r="L191" s="32">
        <f t="shared" si="102"/>
        <v>0.20189973247796225</v>
      </c>
      <c r="M191" s="7">
        <f t="shared" si="103"/>
        <v>0.53404921680138639</v>
      </c>
      <c r="N191" s="6">
        <f t="shared" si="104"/>
        <v>-0.14999999999999997</v>
      </c>
      <c r="O191" s="32">
        <f t="shared" si="105"/>
        <v>-0.36294241809397448</v>
      </c>
      <c r="P191" s="7">
        <f t="shared" si="106"/>
        <v>8.2319341781259853E-2</v>
      </c>
      <c r="Q191" s="7" t="str">
        <f t="shared" si="107"/>
        <v>PASS</v>
      </c>
    </row>
    <row r="192" spans="2:17">
      <c r="B192" s="12">
        <v>5</v>
      </c>
      <c r="C192" s="13">
        <f t="shared" si="96"/>
        <v>15</v>
      </c>
      <c r="D192" s="1"/>
      <c r="E192" s="12">
        <v>7</v>
      </c>
      <c r="F192" s="13">
        <f t="shared" si="97"/>
        <v>13</v>
      </c>
      <c r="G192" s="2"/>
      <c r="H192" s="6">
        <f t="shared" si="98"/>
        <v>0.25</v>
      </c>
      <c r="I192" s="32">
        <f t="shared" si="99"/>
        <v>0.12710822188096477</v>
      </c>
      <c r="J192" s="7">
        <f t="shared" si="100"/>
        <v>0.43280375963515361</v>
      </c>
      <c r="K192" s="6">
        <f t="shared" si="101"/>
        <v>0.35</v>
      </c>
      <c r="L192" s="32">
        <f t="shared" si="102"/>
        <v>0.20189973247796225</v>
      </c>
      <c r="M192" s="7">
        <f t="shared" si="103"/>
        <v>0.53404921680138639</v>
      </c>
      <c r="N192" s="6">
        <f t="shared" si="104"/>
        <v>-9.9999999999999978E-2</v>
      </c>
      <c r="O192" s="32">
        <f t="shared" si="105"/>
        <v>-0.32130635629023835</v>
      </c>
      <c r="P192" s="7">
        <f t="shared" si="106"/>
        <v>0.13526772786943425</v>
      </c>
      <c r="Q192" s="7" t="str">
        <f t="shared" si="107"/>
        <v>PASS</v>
      </c>
    </row>
    <row r="193" spans="2:17">
      <c r="B193" s="12">
        <v>6</v>
      </c>
      <c r="C193" s="13">
        <f t="shared" si="96"/>
        <v>14</v>
      </c>
      <c r="D193" s="1"/>
      <c r="E193" s="12">
        <v>7</v>
      </c>
      <c r="F193" s="13">
        <f t="shared" si="97"/>
        <v>13</v>
      </c>
      <c r="G193" s="2"/>
      <c r="H193" s="6">
        <f t="shared" si="98"/>
        <v>0.3</v>
      </c>
      <c r="I193" s="32">
        <f t="shared" si="99"/>
        <v>0.16354304302976813</v>
      </c>
      <c r="J193" s="7">
        <f t="shared" si="100"/>
        <v>0.48438742236796539</v>
      </c>
      <c r="K193" s="6">
        <f t="shared" si="101"/>
        <v>0.35</v>
      </c>
      <c r="L193" s="32">
        <f t="shared" si="102"/>
        <v>0.20189973247796225</v>
      </c>
      <c r="M193" s="7">
        <f t="shared" si="103"/>
        <v>0.53404921680138639</v>
      </c>
      <c r="N193" s="6">
        <f t="shared" si="104"/>
        <v>-4.9999999999999989E-2</v>
      </c>
      <c r="O193" s="32">
        <f t="shared" si="105"/>
        <v>-0.27911703409126842</v>
      </c>
      <c r="P193" s="7">
        <f t="shared" si="106"/>
        <v>0.18650033988897693</v>
      </c>
      <c r="Q193" s="7" t="str">
        <f t="shared" si="107"/>
        <v>PASS</v>
      </c>
    </row>
    <row r="194" spans="2:17">
      <c r="B194" s="12">
        <v>7</v>
      </c>
      <c r="C194" s="13">
        <f t="shared" si="96"/>
        <v>13</v>
      </c>
      <c r="D194" s="1"/>
      <c r="E194" s="12">
        <v>7</v>
      </c>
      <c r="F194" s="13">
        <f t="shared" si="97"/>
        <v>13</v>
      </c>
      <c r="G194" s="2"/>
      <c r="H194" s="6">
        <f t="shared" si="98"/>
        <v>0.35</v>
      </c>
      <c r="I194" s="32">
        <f t="shared" si="99"/>
        <v>0.20189973247796225</v>
      </c>
      <c r="J194" s="7">
        <f t="shared" si="100"/>
        <v>0.53404921680138639</v>
      </c>
      <c r="K194" s="6">
        <f t="shared" si="101"/>
        <v>0.35</v>
      </c>
      <c r="L194" s="32">
        <f t="shared" si="102"/>
        <v>0.20189973247796225</v>
      </c>
      <c r="M194" s="7">
        <f t="shared" si="103"/>
        <v>0.53404921680138639</v>
      </c>
      <c r="N194" s="6">
        <f t="shared" si="104"/>
        <v>0</v>
      </c>
      <c r="O194" s="32">
        <f t="shared" si="105"/>
        <v>-0.23623675295199703</v>
      </c>
      <c r="P194" s="7">
        <f t="shared" si="106"/>
        <v>0.23623675295199703</v>
      </c>
      <c r="Q194" s="7" t="str">
        <f t="shared" si="107"/>
        <v>PASS</v>
      </c>
    </row>
    <row r="195" spans="2:17">
      <c r="B195" s="12">
        <v>8</v>
      </c>
      <c r="C195" s="13">
        <f t="shared" si="96"/>
        <v>12</v>
      </c>
      <c r="D195" s="1"/>
      <c r="E195" s="12">
        <v>7</v>
      </c>
      <c r="F195" s="13">
        <f t="shared" si="97"/>
        <v>13</v>
      </c>
      <c r="G195" s="2"/>
      <c r="H195" s="6">
        <f t="shared" si="98"/>
        <v>0.4</v>
      </c>
      <c r="I195" s="32">
        <f t="shared" si="99"/>
        <v>0.24198647075497337</v>
      </c>
      <c r="J195" s="7">
        <f t="shared" si="100"/>
        <v>0.5819809624059904</v>
      </c>
      <c r="K195" s="6">
        <f t="shared" si="101"/>
        <v>0.35</v>
      </c>
      <c r="L195" s="32">
        <f t="shared" si="102"/>
        <v>0.20189973247796225</v>
      </c>
      <c r="M195" s="7">
        <f t="shared" si="103"/>
        <v>0.53404921680138639</v>
      </c>
      <c r="N195" s="6">
        <f t="shared" si="104"/>
        <v>5.0000000000000044E-2</v>
      </c>
      <c r="O195" s="32">
        <f t="shared" si="105"/>
        <v>-0.19257450325554129</v>
      </c>
      <c r="P195" s="7">
        <f t="shared" si="106"/>
        <v>0.28462898354276189</v>
      </c>
      <c r="Q195" s="7" t="str">
        <f t="shared" si="107"/>
        <v>PASS</v>
      </c>
    </row>
    <row r="196" spans="2:17">
      <c r="B196" s="12">
        <v>9</v>
      </c>
      <c r="C196" s="13">
        <f t="shared" si="96"/>
        <v>11</v>
      </c>
      <c r="D196" s="1"/>
      <c r="E196" s="12">
        <v>7</v>
      </c>
      <c r="F196" s="13">
        <f t="shared" si="97"/>
        <v>13</v>
      </c>
      <c r="G196" s="2"/>
      <c r="H196" s="6">
        <f t="shared" si="98"/>
        <v>0.45</v>
      </c>
      <c r="I196" s="32">
        <f t="shared" si="99"/>
        <v>0.28368506621578338</v>
      </c>
      <c r="J196" s="7">
        <f t="shared" si="100"/>
        <v>0.62830085082679554</v>
      </c>
      <c r="K196" s="6">
        <f t="shared" si="101"/>
        <v>0.35</v>
      </c>
      <c r="L196" s="32">
        <f t="shared" si="102"/>
        <v>0.20189973247796225</v>
      </c>
      <c r="M196" s="7">
        <f t="shared" si="103"/>
        <v>0.53404921680138639</v>
      </c>
      <c r="N196" s="6">
        <f t="shared" si="104"/>
        <v>0.10000000000000003</v>
      </c>
      <c r="O196" s="32">
        <f t="shared" si="105"/>
        <v>-0.14806203136484244</v>
      </c>
      <c r="P196" s="7">
        <f t="shared" si="106"/>
        <v>0.3317862865780854</v>
      </c>
      <c r="Q196" s="7" t="str">
        <f t="shared" si="107"/>
        <v>PASS</v>
      </c>
    </row>
    <row r="197" spans="2:17">
      <c r="B197" s="12">
        <v>10</v>
      </c>
      <c r="C197" s="13">
        <f t="shared" si="96"/>
        <v>10</v>
      </c>
      <c r="D197" s="1"/>
      <c r="E197" s="12">
        <v>7</v>
      </c>
      <c r="F197" s="13">
        <f t="shared" si="97"/>
        <v>13</v>
      </c>
      <c r="G197" s="2"/>
      <c r="H197" s="6">
        <f t="shared" si="98"/>
        <v>0.5</v>
      </c>
      <c r="I197" s="32">
        <f t="shared" si="99"/>
        <v>0.32693094787634341</v>
      </c>
      <c r="J197" s="7">
        <f t="shared" si="100"/>
        <v>0.6730734530478506</v>
      </c>
      <c r="K197" s="6">
        <f t="shared" si="101"/>
        <v>0.35</v>
      </c>
      <c r="L197" s="32">
        <f t="shared" si="102"/>
        <v>0.20189973247796225</v>
      </c>
      <c r="M197" s="7">
        <f t="shared" si="103"/>
        <v>0.53404921680138639</v>
      </c>
      <c r="N197" s="6">
        <f t="shared" si="104"/>
        <v>0.15000000000000002</v>
      </c>
      <c r="O197" s="32">
        <f t="shared" si="105"/>
        <v>-0.10264008195095387</v>
      </c>
      <c r="P197" s="7">
        <f t="shared" si="106"/>
        <v>0.37778961651051107</v>
      </c>
      <c r="Q197" s="7" t="str">
        <f t="shared" si="107"/>
        <v>PASS</v>
      </c>
    </row>
    <row r="198" spans="2:17">
      <c r="B198" s="12">
        <v>11</v>
      </c>
      <c r="C198" s="13">
        <f t="shared" si="96"/>
        <v>9</v>
      </c>
      <c r="D198" s="1"/>
      <c r="E198" s="12">
        <v>7</v>
      </c>
      <c r="F198" s="13">
        <f t="shared" si="97"/>
        <v>13</v>
      </c>
      <c r="G198" s="2"/>
      <c r="H198" s="6">
        <f t="shared" si="98"/>
        <v>0.55000000000000004</v>
      </c>
      <c r="I198" s="32">
        <f t="shared" si="99"/>
        <v>0.37170355009739847</v>
      </c>
      <c r="J198" s="7">
        <f t="shared" si="100"/>
        <v>0.71631933470841069</v>
      </c>
      <c r="K198" s="6">
        <f t="shared" si="101"/>
        <v>0.35</v>
      </c>
      <c r="L198" s="32">
        <f t="shared" si="102"/>
        <v>0.20189973247796225</v>
      </c>
      <c r="M198" s="7">
        <f t="shared" si="103"/>
        <v>0.53404921680138639</v>
      </c>
      <c r="N198" s="6">
        <f t="shared" si="104"/>
        <v>0.20000000000000007</v>
      </c>
      <c r="O198" s="32">
        <f t="shared" si="105"/>
        <v>-5.6249367322291355E-2</v>
      </c>
      <c r="P198" s="7">
        <f t="shared" si="106"/>
        <v>0.42270116824558307</v>
      </c>
      <c r="Q198" s="7" t="str">
        <f t="shared" si="107"/>
        <v>PASS</v>
      </c>
    </row>
    <row r="199" spans="2:17">
      <c r="B199" s="12">
        <v>12</v>
      </c>
      <c r="C199" s="13">
        <f t="shared" si="96"/>
        <v>8</v>
      </c>
      <c r="D199" s="1"/>
      <c r="E199" s="12">
        <v>7</v>
      </c>
      <c r="F199" s="13">
        <f t="shared" si="97"/>
        <v>13</v>
      </c>
      <c r="G199" s="2"/>
      <c r="H199" s="6">
        <f t="shared" si="98"/>
        <v>0.6</v>
      </c>
      <c r="I199" s="32">
        <f t="shared" si="99"/>
        <v>0.41802343851820367</v>
      </c>
      <c r="J199" s="7">
        <f t="shared" si="100"/>
        <v>0.75801793016922059</v>
      </c>
      <c r="K199" s="6">
        <f t="shared" si="101"/>
        <v>0.35</v>
      </c>
      <c r="L199" s="32">
        <f t="shared" si="102"/>
        <v>0.20189973247796225</v>
      </c>
      <c r="M199" s="7">
        <f t="shared" si="103"/>
        <v>0.53404921680138639</v>
      </c>
      <c r="N199" s="6">
        <f t="shared" si="104"/>
        <v>0.25</v>
      </c>
      <c r="O199" s="32">
        <f t="shared" si="105"/>
        <v>-8.8234593964421348E-3</v>
      </c>
      <c r="P199" s="7">
        <f t="shared" si="106"/>
        <v>0.46657182525680441</v>
      </c>
      <c r="Q199" s="7" t="str">
        <f t="shared" si="107"/>
        <v>PASS</v>
      </c>
    </row>
    <row r="200" spans="2:17">
      <c r="B200" s="12">
        <v>13</v>
      </c>
      <c r="C200" s="13">
        <f t="shared" si="96"/>
        <v>7</v>
      </c>
      <c r="D200" s="1"/>
      <c r="E200" s="12">
        <v>7</v>
      </c>
      <c r="F200" s="13">
        <f t="shared" si="97"/>
        <v>13</v>
      </c>
      <c r="G200" s="2"/>
      <c r="H200" s="6">
        <f t="shared" si="98"/>
        <v>0.65</v>
      </c>
      <c r="I200" s="32">
        <f t="shared" si="99"/>
        <v>0.46595518412280768</v>
      </c>
      <c r="J200" s="7">
        <f t="shared" si="100"/>
        <v>0.79810466844623185</v>
      </c>
      <c r="K200" s="6">
        <f t="shared" si="101"/>
        <v>0.35</v>
      </c>
      <c r="L200" s="32">
        <f t="shared" si="102"/>
        <v>0.20189973247796225</v>
      </c>
      <c r="M200" s="7">
        <f t="shared" si="103"/>
        <v>0.53404921680138639</v>
      </c>
      <c r="N200" s="6">
        <f t="shared" si="104"/>
        <v>0.30000000000000004</v>
      </c>
      <c r="O200" s="32">
        <f t="shared" si="105"/>
        <v>3.9718213360071308E-2</v>
      </c>
      <c r="P200" s="7">
        <f t="shared" si="106"/>
        <v>0.50944851886720854</v>
      </c>
      <c r="Q200" s="7" t="str">
        <f t="shared" si="107"/>
        <v>FAIL</v>
      </c>
    </row>
    <row r="201" spans="2:17">
      <c r="B201" s="12">
        <v>14</v>
      </c>
      <c r="C201" s="13">
        <f t="shared" si="96"/>
        <v>6</v>
      </c>
      <c r="D201" s="1"/>
      <c r="E201" s="12">
        <v>7</v>
      </c>
      <c r="F201" s="13">
        <f t="shared" si="97"/>
        <v>13</v>
      </c>
      <c r="G201" s="2"/>
      <c r="H201" s="6">
        <f t="shared" si="98"/>
        <v>0.7</v>
      </c>
      <c r="I201" s="32">
        <f t="shared" si="99"/>
        <v>0.51561697855622868</v>
      </c>
      <c r="J201" s="7">
        <f t="shared" si="100"/>
        <v>0.83646135789442599</v>
      </c>
      <c r="K201" s="6">
        <f t="shared" si="101"/>
        <v>0.35</v>
      </c>
      <c r="L201" s="32">
        <f t="shared" si="102"/>
        <v>0.20189973247796225</v>
      </c>
      <c r="M201" s="7">
        <f t="shared" si="103"/>
        <v>0.53404921680138639</v>
      </c>
      <c r="N201" s="6">
        <f t="shared" si="104"/>
        <v>0.35</v>
      </c>
      <c r="O201" s="32">
        <f t="shared" si="105"/>
        <v>8.9478959003427172E-2</v>
      </c>
      <c r="P201" s="7">
        <f t="shared" si="106"/>
        <v>0.55138369208674709</v>
      </c>
      <c r="Q201" s="7" t="str">
        <f t="shared" si="107"/>
        <v>FAIL</v>
      </c>
    </row>
    <row r="202" spans="2:17">
      <c r="B202" s="12">
        <v>15</v>
      </c>
      <c r="C202" s="13">
        <f t="shared" si="96"/>
        <v>5</v>
      </c>
      <c r="D202" s="1"/>
      <c r="E202" s="12">
        <v>7</v>
      </c>
      <c r="F202" s="13">
        <f t="shared" si="97"/>
        <v>13</v>
      </c>
      <c r="G202" s="2"/>
      <c r="H202" s="6">
        <f t="shared" si="98"/>
        <v>0.75</v>
      </c>
      <c r="I202" s="32">
        <f t="shared" si="99"/>
        <v>0.56720064128904046</v>
      </c>
      <c r="J202" s="7">
        <f t="shared" si="100"/>
        <v>0.87289617904322925</v>
      </c>
      <c r="K202" s="6">
        <f t="shared" si="101"/>
        <v>0.35</v>
      </c>
      <c r="L202" s="32">
        <f t="shared" si="102"/>
        <v>0.20189973247796225</v>
      </c>
      <c r="M202" s="7">
        <f t="shared" si="103"/>
        <v>0.53404921680138639</v>
      </c>
      <c r="N202" s="6">
        <f t="shared" si="104"/>
        <v>0.4</v>
      </c>
      <c r="O202" s="32">
        <f t="shared" si="105"/>
        <v>0.14059737906038461</v>
      </c>
      <c r="P202" s="7">
        <f t="shared" si="106"/>
        <v>0.5924504093618006</v>
      </c>
      <c r="Q202" s="7" t="str">
        <f t="shared" si="107"/>
        <v>FAIL</v>
      </c>
    </row>
    <row r="203" spans="2:17">
      <c r="B203" s="12">
        <v>16</v>
      </c>
      <c r="C203" s="13">
        <f t="shared" si="96"/>
        <v>4</v>
      </c>
      <c r="D203" s="1"/>
      <c r="E203" s="12">
        <v>7</v>
      </c>
      <c r="F203" s="13">
        <f t="shared" si="97"/>
        <v>13</v>
      </c>
      <c r="G203" s="2"/>
      <c r="H203" s="6">
        <f t="shared" si="98"/>
        <v>0.8</v>
      </c>
      <c r="I203" s="32">
        <f t="shared" si="99"/>
        <v>0.62101114036509186</v>
      </c>
      <c r="J203" s="7">
        <f t="shared" si="100"/>
        <v>0.907104163848793</v>
      </c>
      <c r="K203" s="6">
        <f t="shared" si="101"/>
        <v>0.35</v>
      </c>
      <c r="L203" s="32">
        <f t="shared" si="102"/>
        <v>0.20189973247796225</v>
      </c>
      <c r="M203" s="7">
        <f t="shared" si="103"/>
        <v>0.53404921680138639</v>
      </c>
      <c r="N203" s="6">
        <f t="shared" si="104"/>
        <v>0.45000000000000007</v>
      </c>
      <c r="O203" s="32">
        <f t="shared" si="105"/>
        <v>0.19326837733031682</v>
      </c>
      <c r="P203" s="7">
        <f t="shared" si="106"/>
        <v>0.63277032350425011</v>
      </c>
      <c r="Q203" s="7" t="str">
        <f t="shared" si="107"/>
        <v>FAIL</v>
      </c>
    </row>
    <row r="204" spans="2:17">
      <c r="B204" s="12">
        <v>17</v>
      </c>
      <c r="C204" s="13">
        <f t="shared" si="96"/>
        <v>3</v>
      </c>
      <c r="D204" s="1"/>
      <c r="E204" s="12">
        <v>7</v>
      </c>
      <c r="F204" s="13">
        <f t="shared" si="97"/>
        <v>13</v>
      </c>
      <c r="G204" s="2"/>
      <c r="H204" s="6">
        <f t="shared" si="98"/>
        <v>0.85</v>
      </c>
      <c r="I204" s="32">
        <f t="shared" si="99"/>
        <v>0.67754918969065736</v>
      </c>
      <c r="J204" s="7">
        <f t="shared" si="100"/>
        <v>0.93858459840484276</v>
      </c>
      <c r="K204" s="6">
        <f t="shared" si="101"/>
        <v>0.35</v>
      </c>
      <c r="L204" s="32">
        <f t="shared" si="102"/>
        <v>0.20189973247796225</v>
      </c>
      <c r="M204" s="7">
        <f t="shared" si="103"/>
        <v>0.53404921680138639</v>
      </c>
      <c r="N204" s="6">
        <f t="shared" si="104"/>
        <v>0.5</v>
      </c>
      <c r="O204" s="32">
        <f t="shared" si="105"/>
        <v>0.24778303748250274</v>
      </c>
      <c r="P204" s="7">
        <f t="shared" si="106"/>
        <v>0.67257149334303856</v>
      </c>
      <c r="Q204" s="7" t="str">
        <f t="shared" si="107"/>
        <v>FAIL</v>
      </c>
    </row>
    <row r="205" spans="2:17">
      <c r="B205" s="12">
        <v>18</v>
      </c>
      <c r="C205" s="13">
        <f t="shared" si="96"/>
        <v>2</v>
      </c>
      <c r="D205" s="1"/>
      <c r="E205" s="12">
        <v>7</v>
      </c>
      <c r="F205" s="13">
        <f t="shared" si="97"/>
        <v>13</v>
      </c>
      <c r="G205" s="2"/>
      <c r="H205" s="6">
        <f t="shared" si="98"/>
        <v>0.9</v>
      </c>
      <c r="I205" s="32">
        <f t="shared" si="99"/>
        <v>0.7377076948078376</v>
      </c>
      <c r="J205" s="7">
        <f t="shared" si="100"/>
        <v>0.96644457716927756</v>
      </c>
      <c r="K205" s="6">
        <f t="shared" si="101"/>
        <v>0.35</v>
      </c>
      <c r="L205" s="32">
        <f t="shared" si="102"/>
        <v>0.20189973247796225</v>
      </c>
      <c r="M205" s="7">
        <f t="shared" si="103"/>
        <v>0.53404921680138639</v>
      </c>
      <c r="N205" s="6">
        <f t="shared" si="104"/>
        <v>0.55000000000000004</v>
      </c>
      <c r="O205" s="32">
        <f t="shared" si="105"/>
        <v>0.30461681693769294</v>
      </c>
      <c r="P205" s="7">
        <f t="shared" si="106"/>
        <v>0.71232242936607137</v>
      </c>
      <c r="Q205" s="7" t="str">
        <f t="shared" si="107"/>
        <v>FAIL</v>
      </c>
    </row>
    <row r="206" spans="2:17">
      <c r="B206" s="12">
        <v>19</v>
      </c>
      <c r="C206" s="13">
        <f t="shared" si="96"/>
        <v>1</v>
      </c>
      <c r="D206" s="1"/>
      <c r="E206" s="12">
        <v>7</v>
      </c>
      <c r="F206" s="13">
        <f t="shared" si="97"/>
        <v>13</v>
      </c>
      <c r="G206" s="2"/>
      <c r="H206" s="6">
        <f t="shared" si="98"/>
        <v>0.95</v>
      </c>
      <c r="I206" s="32">
        <f t="shared" si="99"/>
        <v>0.80335937249454403</v>
      </c>
      <c r="J206" s="7">
        <f t="shared" si="100"/>
        <v>0.98881138336418628</v>
      </c>
      <c r="K206" s="6">
        <f t="shared" si="101"/>
        <v>0.35</v>
      </c>
      <c r="L206" s="32">
        <f t="shared" si="102"/>
        <v>0.20189973247796225</v>
      </c>
      <c r="M206" s="7">
        <f t="shared" si="103"/>
        <v>0.53404921680138639</v>
      </c>
      <c r="N206" s="6">
        <f t="shared" si="104"/>
        <v>0.6</v>
      </c>
      <c r="O206" s="32">
        <f t="shared" si="105"/>
        <v>0.3646755689682909</v>
      </c>
      <c r="P206" s="7">
        <f t="shared" si="106"/>
        <v>0.75310131520905033</v>
      </c>
      <c r="Q206" s="7" t="str">
        <f t="shared" si="107"/>
        <v>FAIL</v>
      </c>
    </row>
    <row r="207" spans="2:17" ht="15" thickBot="1">
      <c r="B207" s="15">
        <v>20</v>
      </c>
      <c r="C207" s="14">
        <f t="shared" si="96"/>
        <v>0</v>
      </c>
      <c r="D207" s="1"/>
      <c r="E207" s="15">
        <v>7</v>
      </c>
      <c r="F207" s="14">
        <f t="shared" si="97"/>
        <v>13</v>
      </c>
      <c r="G207" s="2"/>
      <c r="H207" s="8">
        <f t="shared" si="98"/>
        <v>1</v>
      </c>
      <c r="I207" s="16">
        <f t="shared" si="99"/>
        <v>0.88018813951940023</v>
      </c>
      <c r="J207" s="9">
        <f t="shared" si="100"/>
        <v>1.0000011002209452</v>
      </c>
      <c r="K207" s="8">
        <f t="shared" si="101"/>
        <v>0.35</v>
      </c>
      <c r="L207" s="16">
        <f t="shared" si="102"/>
        <v>0.20189973247796225</v>
      </c>
      <c r="M207" s="9">
        <f t="shared" si="103"/>
        <v>0.53404921680138639</v>
      </c>
      <c r="N207" s="8">
        <f t="shared" si="104"/>
        <v>0.65</v>
      </c>
      <c r="O207" s="16">
        <f t="shared" si="105"/>
        <v>0.43038898908063272</v>
      </c>
      <c r="P207" s="9">
        <f t="shared" si="106"/>
        <v>0.7981002675261244</v>
      </c>
      <c r="Q207" s="9" t="str">
        <f t="shared" si="107"/>
        <v>FAIL</v>
      </c>
    </row>
    <row r="208" spans="2:17" ht="15" thickBot="1"/>
    <row r="209" spans="2:17">
      <c r="B209" s="3">
        <v>0</v>
      </c>
      <c r="C209" s="11">
        <f>20-B209</f>
        <v>20</v>
      </c>
      <c r="D209" s="1"/>
      <c r="E209" s="3">
        <v>8</v>
      </c>
      <c r="F209" s="11">
        <f>20-E209</f>
        <v>12</v>
      </c>
      <c r="G209" s="2"/>
      <c r="H209" s="5">
        <f>B209/SUM(B209:C209)</f>
        <v>0</v>
      </c>
      <c r="I209" s="41">
        <f>((B209+1.3613)-(1.65*SQRT(B209-(B209^2/SUM(B209:C209))+0.6806)))/(SUM(B209:C209)+2.7225)</f>
        <v>3.3007032488877747E-6</v>
      </c>
      <c r="J209" s="4">
        <f>((B209+1.3613)+(1.65*SQRT(B209-(B209^2/SUM(B209:C209))+0.6806)))/(SUM(B209:C209)+2.7225)</f>
        <v>0.1198162614047938</v>
      </c>
      <c r="K209" s="5">
        <f>E209/SUM(E209:F209)</f>
        <v>0.4</v>
      </c>
      <c r="L209" s="41">
        <f>((E209+1.3613)-(1.65*SQRT(E209-(E209^2/SUM(E209:F209))+0.6806)))/(SUM(E209:F209)+2.7225)</f>
        <v>0.24198647075497337</v>
      </c>
      <c r="M209" s="4">
        <f>((E209+1.3613)+(1.65*SQRT(E209-(E209^2/SUM(E209:F209))+0.6806)))/(SUM(E209:F209)+2.7225)</f>
        <v>0.5819809624059904</v>
      </c>
      <c r="N209" s="5">
        <f>H209-K209</f>
        <v>-0.4</v>
      </c>
      <c r="O209" s="41">
        <f>N209-SQRT((H209-I209)^2+(K209-M209)^2)</f>
        <v>-0.58198096243592379</v>
      </c>
      <c r="P209" s="4">
        <f>N209+SQRT((H209-J209)^2+(K209-L209)^2)</f>
        <v>-0.20169666689263449</v>
      </c>
      <c r="Q209" s="4" t="str">
        <f>IF(O209*P209&lt;0,"PASS","FAIL")</f>
        <v>FAIL</v>
      </c>
    </row>
    <row r="210" spans="2:17">
      <c r="B210" s="12">
        <v>1</v>
      </c>
      <c r="C210" s="13">
        <f t="shared" ref="C210:C229" si="108">20-B210</f>
        <v>19</v>
      </c>
      <c r="D210" s="1"/>
      <c r="E210" s="12">
        <v>8</v>
      </c>
      <c r="F210" s="13">
        <f t="shared" ref="F210:F229" si="109">20-E210</f>
        <v>12</v>
      </c>
      <c r="G210" s="2"/>
      <c r="H210" s="6">
        <f t="shared" ref="H210:H229" si="110">B210/SUM(B210:C210)</f>
        <v>0.05</v>
      </c>
      <c r="I210" s="32">
        <f t="shared" ref="I210:I229" si="111">((B210+1.3613)-(1.65*SQRT(B210-(B210^2/SUM(B210:C210))+0.6806)))/(SUM(B210:C210)+2.7225)</f>
        <v>1.1193017560007713E-2</v>
      </c>
      <c r="J210" s="7">
        <f t="shared" ref="J210:J229" si="112">((B210+1.3613)+(1.65*SQRT(B210-(B210^2/SUM(B210:C210))+0.6806)))/(SUM(B210:C210)+2.7225)</f>
        <v>0.19664502842965012</v>
      </c>
      <c r="K210" s="6">
        <f t="shared" ref="K210:K229" si="113">E210/SUM(E210:F210)</f>
        <v>0.4</v>
      </c>
      <c r="L210" s="32">
        <f t="shared" ref="L210:L229" si="114">((E210+1.3613)-(1.65*SQRT(E210-(E210^2/SUM(E210:F210))+0.6806)))/(SUM(E210:F210)+2.7225)</f>
        <v>0.24198647075497337</v>
      </c>
      <c r="M210" s="7">
        <f t="shared" ref="M210:M229" si="115">((E210+1.3613)+(1.65*SQRT(E210-(E210^2/SUM(E210:F210))+0.6806)))/(SUM(E210:F210)+2.7225)</f>
        <v>0.5819809624059904</v>
      </c>
      <c r="N210" s="6">
        <f t="shared" ref="N210:N229" si="116">H210-K210</f>
        <v>-0.35000000000000003</v>
      </c>
      <c r="O210" s="32">
        <f t="shared" ref="O210:O229" si="117">N210-SQRT((H210-I210)^2+(K210-M210)^2)</f>
        <v>-0.53607270773627269</v>
      </c>
      <c r="P210" s="7">
        <f t="shared" ref="P210:P229" si="118">N210+SQRT((H210-J210)^2+(K210-L210)^2)</f>
        <v>-0.13442393503080688</v>
      </c>
      <c r="Q210" s="7" t="str">
        <f t="shared" ref="Q210:Q229" si="119">IF(O210*P210&lt;0,"PASS","FAIL")</f>
        <v>FAIL</v>
      </c>
    </row>
    <row r="211" spans="2:17">
      <c r="B211" s="12">
        <v>2</v>
      </c>
      <c r="C211" s="13">
        <f t="shared" si="108"/>
        <v>18</v>
      </c>
      <c r="D211" s="1"/>
      <c r="E211" s="12">
        <v>8</v>
      </c>
      <c r="F211" s="13">
        <f t="shared" si="109"/>
        <v>12</v>
      </c>
      <c r="G211" s="2"/>
      <c r="H211" s="6">
        <f t="shared" si="110"/>
        <v>0.1</v>
      </c>
      <c r="I211" s="32">
        <f t="shared" si="111"/>
        <v>3.3559823754916465E-2</v>
      </c>
      <c r="J211" s="7">
        <f t="shared" si="112"/>
        <v>0.26229670611635653</v>
      </c>
      <c r="K211" s="6">
        <f t="shared" si="113"/>
        <v>0.4</v>
      </c>
      <c r="L211" s="32">
        <f t="shared" si="114"/>
        <v>0.24198647075497337</v>
      </c>
      <c r="M211" s="7">
        <f t="shared" si="115"/>
        <v>0.5819809624059904</v>
      </c>
      <c r="N211" s="6">
        <f t="shared" si="116"/>
        <v>-0.30000000000000004</v>
      </c>
      <c r="O211" s="32">
        <f t="shared" si="117"/>
        <v>-0.49373014142793648</v>
      </c>
      <c r="P211" s="7">
        <f t="shared" si="118"/>
        <v>-7.3486211808888174E-2</v>
      </c>
      <c r="Q211" s="7" t="str">
        <f t="shared" si="119"/>
        <v>FAIL</v>
      </c>
    </row>
    <row r="212" spans="2:17">
      <c r="B212" s="12">
        <v>3</v>
      </c>
      <c r="C212" s="13">
        <f t="shared" si="108"/>
        <v>17</v>
      </c>
      <c r="D212" s="1"/>
      <c r="E212" s="12">
        <v>8</v>
      </c>
      <c r="F212" s="13">
        <f t="shared" si="109"/>
        <v>12</v>
      </c>
      <c r="G212" s="2"/>
      <c r="H212" s="6">
        <f t="shared" si="110"/>
        <v>0.15</v>
      </c>
      <c r="I212" s="32">
        <f t="shared" si="111"/>
        <v>6.1419802519351356E-2</v>
      </c>
      <c r="J212" s="7">
        <f t="shared" si="112"/>
        <v>0.32245521123353676</v>
      </c>
      <c r="K212" s="6">
        <f t="shared" si="113"/>
        <v>0.4</v>
      </c>
      <c r="L212" s="32">
        <f t="shared" si="114"/>
        <v>0.24198647075497337</v>
      </c>
      <c r="M212" s="7">
        <f t="shared" si="115"/>
        <v>0.5819809624059904</v>
      </c>
      <c r="N212" s="6">
        <f t="shared" si="116"/>
        <v>-0.25</v>
      </c>
      <c r="O212" s="32">
        <f t="shared" si="117"/>
        <v>-0.45239447142627487</v>
      </c>
      <c r="P212" s="7">
        <f t="shared" si="118"/>
        <v>-1.6100287930761487E-2</v>
      </c>
      <c r="Q212" s="7" t="str">
        <f t="shared" si="119"/>
        <v>FAIL</v>
      </c>
    </row>
    <row r="213" spans="2:17">
      <c r="B213" s="12">
        <v>4</v>
      </c>
      <c r="C213" s="13">
        <f t="shared" si="108"/>
        <v>16</v>
      </c>
      <c r="D213" s="1"/>
      <c r="E213" s="12">
        <v>8</v>
      </c>
      <c r="F213" s="13">
        <f t="shared" si="109"/>
        <v>12</v>
      </c>
      <c r="G213" s="2"/>
      <c r="H213" s="6">
        <f t="shared" si="110"/>
        <v>0.2</v>
      </c>
      <c r="I213" s="32">
        <f t="shared" si="111"/>
        <v>9.2900237075401015E-2</v>
      </c>
      <c r="J213" s="7">
        <f t="shared" si="112"/>
        <v>0.37899326055910226</v>
      </c>
      <c r="K213" s="6">
        <f t="shared" si="113"/>
        <v>0.4</v>
      </c>
      <c r="L213" s="32">
        <f t="shared" si="114"/>
        <v>0.24198647075497337</v>
      </c>
      <c r="M213" s="7">
        <f t="shared" si="115"/>
        <v>0.5819809624059904</v>
      </c>
      <c r="N213" s="6">
        <f t="shared" si="116"/>
        <v>-0.2</v>
      </c>
      <c r="O213" s="32">
        <f t="shared" si="117"/>
        <v>-0.41115735814012211</v>
      </c>
      <c r="P213" s="7">
        <f t="shared" si="118"/>
        <v>3.8761099742080168E-2</v>
      </c>
      <c r="Q213" s="7" t="str">
        <f t="shared" si="119"/>
        <v>PASS</v>
      </c>
    </row>
    <row r="214" spans="2:17">
      <c r="B214" s="12">
        <v>5</v>
      </c>
      <c r="C214" s="13">
        <f t="shared" si="108"/>
        <v>15</v>
      </c>
      <c r="D214" s="1"/>
      <c r="E214" s="12">
        <v>8</v>
      </c>
      <c r="F214" s="13">
        <f t="shared" si="109"/>
        <v>12</v>
      </c>
      <c r="G214" s="2"/>
      <c r="H214" s="6">
        <f t="shared" si="110"/>
        <v>0.25</v>
      </c>
      <c r="I214" s="32">
        <f t="shared" si="111"/>
        <v>0.12710822188096477</v>
      </c>
      <c r="J214" s="7">
        <f t="shared" si="112"/>
        <v>0.43280375963515361</v>
      </c>
      <c r="K214" s="6">
        <f t="shared" si="113"/>
        <v>0.4</v>
      </c>
      <c r="L214" s="32">
        <f t="shared" si="114"/>
        <v>0.24198647075497337</v>
      </c>
      <c r="M214" s="7">
        <f t="shared" si="115"/>
        <v>0.5819809624059904</v>
      </c>
      <c r="N214" s="6">
        <f t="shared" si="116"/>
        <v>-0.15000000000000002</v>
      </c>
      <c r="O214" s="32">
        <f t="shared" si="117"/>
        <v>-0.36958929802581153</v>
      </c>
      <c r="P214" s="7">
        <f t="shared" si="118"/>
        <v>9.163089612302458E-2</v>
      </c>
      <c r="Q214" s="7" t="str">
        <f t="shared" si="119"/>
        <v>PASS</v>
      </c>
    </row>
    <row r="215" spans="2:17">
      <c r="B215" s="12">
        <v>6</v>
      </c>
      <c r="C215" s="13">
        <f t="shared" si="108"/>
        <v>14</v>
      </c>
      <c r="D215" s="1"/>
      <c r="E215" s="12">
        <v>8</v>
      </c>
      <c r="F215" s="13">
        <f t="shared" si="109"/>
        <v>12</v>
      </c>
      <c r="G215" s="2"/>
      <c r="H215" s="6">
        <f t="shared" si="110"/>
        <v>0.3</v>
      </c>
      <c r="I215" s="32">
        <f t="shared" si="111"/>
        <v>0.16354304302976813</v>
      </c>
      <c r="J215" s="7">
        <f t="shared" si="112"/>
        <v>0.48438742236796539</v>
      </c>
      <c r="K215" s="6">
        <f t="shared" si="113"/>
        <v>0.4</v>
      </c>
      <c r="L215" s="32">
        <f t="shared" si="114"/>
        <v>0.24198647075497337</v>
      </c>
      <c r="M215" s="7">
        <f t="shared" si="115"/>
        <v>0.5819809624059904</v>
      </c>
      <c r="N215" s="6">
        <f t="shared" si="116"/>
        <v>-0.10000000000000003</v>
      </c>
      <c r="O215" s="32">
        <f t="shared" si="117"/>
        <v>-0.32745894527097896</v>
      </c>
      <c r="P215" s="7">
        <f t="shared" si="118"/>
        <v>0.14283121082754444</v>
      </c>
      <c r="Q215" s="7" t="str">
        <f t="shared" si="119"/>
        <v>PASS</v>
      </c>
    </row>
    <row r="216" spans="2:17">
      <c r="B216" s="12">
        <v>7</v>
      </c>
      <c r="C216" s="13">
        <f t="shared" si="108"/>
        <v>13</v>
      </c>
      <c r="D216" s="1"/>
      <c r="E216" s="12">
        <v>8</v>
      </c>
      <c r="F216" s="13">
        <f t="shared" si="109"/>
        <v>12</v>
      </c>
      <c r="G216" s="2"/>
      <c r="H216" s="6">
        <f t="shared" si="110"/>
        <v>0.35</v>
      </c>
      <c r="I216" s="32">
        <f t="shared" si="111"/>
        <v>0.20189973247796225</v>
      </c>
      <c r="J216" s="7">
        <f t="shared" si="112"/>
        <v>0.53404921680138639</v>
      </c>
      <c r="K216" s="6">
        <f t="shared" si="113"/>
        <v>0.4</v>
      </c>
      <c r="L216" s="32">
        <f t="shared" si="114"/>
        <v>0.24198647075497337</v>
      </c>
      <c r="M216" s="7">
        <f t="shared" si="115"/>
        <v>0.5819809624059904</v>
      </c>
      <c r="N216" s="6">
        <f t="shared" si="116"/>
        <v>-5.0000000000000044E-2</v>
      </c>
      <c r="O216" s="32">
        <f t="shared" si="117"/>
        <v>-0.28462898354276189</v>
      </c>
      <c r="P216" s="7">
        <f t="shared" si="118"/>
        <v>0.19257450325554129</v>
      </c>
      <c r="Q216" s="7" t="str">
        <f t="shared" si="119"/>
        <v>PASS</v>
      </c>
    </row>
    <row r="217" spans="2:17">
      <c r="B217" s="12">
        <v>8</v>
      </c>
      <c r="C217" s="13">
        <f t="shared" si="108"/>
        <v>12</v>
      </c>
      <c r="D217" s="1"/>
      <c r="E217" s="12">
        <v>8</v>
      </c>
      <c r="F217" s="13">
        <f t="shared" si="109"/>
        <v>12</v>
      </c>
      <c r="G217" s="2"/>
      <c r="H217" s="6">
        <f t="shared" si="110"/>
        <v>0.4</v>
      </c>
      <c r="I217" s="32">
        <f t="shared" si="111"/>
        <v>0.24198647075497337</v>
      </c>
      <c r="J217" s="7">
        <f t="shared" si="112"/>
        <v>0.5819809624059904</v>
      </c>
      <c r="K217" s="6">
        <f t="shared" si="113"/>
        <v>0.4</v>
      </c>
      <c r="L217" s="32">
        <f t="shared" si="114"/>
        <v>0.24198647075497337</v>
      </c>
      <c r="M217" s="7">
        <f t="shared" si="115"/>
        <v>0.5819809624059904</v>
      </c>
      <c r="N217" s="6">
        <f t="shared" si="116"/>
        <v>0</v>
      </c>
      <c r="O217" s="32">
        <f t="shared" si="117"/>
        <v>-0.24100901664186627</v>
      </c>
      <c r="P217" s="7">
        <f t="shared" si="118"/>
        <v>0.24100901664186627</v>
      </c>
      <c r="Q217" s="7" t="str">
        <f t="shared" si="119"/>
        <v>PASS</v>
      </c>
    </row>
    <row r="218" spans="2:17">
      <c r="B218" s="12">
        <v>9</v>
      </c>
      <c r="C218" s="13">
        <f t="shared" si="108"/>
        <v>11</v>
      </c>
      <c r="D218" s="1"/>
      <c r="E218" s="12">
        <v>8</v>
      </c>
      <c r="F218" s="13">
        <f t="shared" si="109"/>
        <v>12</v>
      </c>
      <c r="G218" s="2"/>
      <c r="H218" s="6">
        <f t="shared" si="110"/>
        <v>0.45</v>
      </c>
      <c r="I218" s="32">
        <f t="shared" si="111"/>
        <v>0.28368506621578338</v>
      </c>
      <c r="J218" s="7">
        <f t="shared" si="112"/>
        <v>0.62830085082679554</v>
      </c>
      <c r="K218" s="6">
        <f t="shared" si="113"/>
        <v>0.4</v>
      </c>
      <c r="L218" s="32">
        <f t="shared" si="114"/>
        <v>0.24198647075497337</v>
      </c>
      <c r="M218" s="7">
        <f t="shared" si="115"/>
        <v>0.5819809624059904</v>
      </c>
      <c r="N218" s="6">
        <f t="shared" si="116"/>
        <v>4.9999999999999989E-2</v>
      </c>
      <c r="O218" s="32">
        <f t="shared" si="117"/>
        <v>-0.19653139329071023</v>
      </c>
      <c r="P218" s="7">
        <f t="shared" si="118"/>
        <v>0.28824245807586035</v>
      </c>
      <c r="Q218" s="7" t="str">
        <f t="shared" si="119"/>
        <v>PASS</v>
      </c>
    </row>
    <row r="219" spans="2:17">
      <c r="B219" s="12">
        <v>10</v>
      </c>
      <c r="C219" s="13">
        <f t="shared" si="108"/>
        <v>10</v>
      </c>
      <c r="D219" s="1"/>
      <c r="E219" s="12">
        <v>8</v>
      </c>
      <c r="F219" s="13">
        <f t="shared" si="109"/>
        <v>12</v>
      </c>
      <c r="G219" s="2"/>
      <c r="H219" s="6">
        <f t="shared" si="110"/>
        <v>0.5</v>
      </c>
      <c r="I219" s="32">
        <f t="shared" si="111"/>
        <v>0.32693094787634341</v>
      </c>
      <c r="J219" s="7">
        <f t="shared" si="112"/>
        <v>0.6730734530478506</v>
      </c>
      <c r="K219" s="6">
        <f t="shared" si="113"/>
        <v>0.4</v>
      </c>
      <c r="L219" s="32">
        <f t="shared" si="114"/>
        <v>0.24198647075497337</v>
      </c>
      <c r="M219" s="7">
        <f t="shared" si="115"/>
        <v>0.5819809624059904</v>
      </c>
      <c r="N219" s="6">
        <f t="shared" si="116"/>
        <v>9.9999999999999978E-2</v>
      </c>
      <c r="O219" s="32">
        <f t="shared" si="117"/>
        <v>-0.15113734784215477</v>
      </c>
      <c r="P219" s="7">
        <f t="shared" si="118"/>
        <v>0.33435591644841278</v>
      </c>
      <c r="Q219" s="7" t="str">
        <f t="shared" si="119"/>
        <v>PASS</v>
      </c>
    </row>
    <row r="220" spans="2:17">
      <c r="B220" s="12">
        <v>11</v>
      </c>
      <c r="C220" s="13">
        <f t="shared" si="108"/>
        <v>9</v>
      </c>
      <c r="D220" s="1"/>
      <c r="E220" s="12">
        <v>8</v>
      </c>
      <c r="F220" s="13">
        <f t="shared" si="109"/>
        <v>12</v>
      </c>
      <c r="G220" s="2"/>
      <c r="H220" s="6">
        <f t="shared" si="110"/>
        <v>0.55000000000000004</v>
      </c>
      <c r="I220" s="32">
        <f t="shared" si="111"/>
        <v>0.37170355009739847</v>
      </c>
      <c r="J220" s="7">
        <f t="shared" si="112"/>
        <v>0.71631933470841069</v>
      </c>
      <c r="K220" s="6">
        <f t="shared" si="113"/>
        <v>0.4</v>
      </c>
      <c r="L220" s="32">
        <f t="shared" si="114"/>
        <v>0.24198647075497337</v>
      </c>
      <c r="M220" s="7">
        <f t="shared" si="115"/>
        <v>0.5819809624059904</v>
      </c>
      <c r="N220" s="6">
        <f t="shared" si="116"/>
        <v>0.15000000000000002</v>
      </c>
      <c r="O220" s="32">
        <f t="shared" si="117"/>
        <v>-0.10476792326759149</v>
      </c>
      <c r="P220" s="7">
        <f t="shared" si="118"/>
        <v>0.37941315682043442</v>
      </c>
      <c r="Q220" s="7" t="str">
        <f t="shared" si="119"/>
        <v>PASS</v>
      </c>
    </row>
    <row r="221" spans="2:17">
      <c r="B221" s="12">
        <v>12</v>
      </c>
      <c r="C221" s="13">
        <f t="shared" si="108"/>
        <v>8</v>
      </c>
      <c r="D221" s="1"/>
      <c r="E221" s="12">
        <v>8</v>
      </c>
      <c r="F221" s="13">
        <f t="shared" si="109"/>
        <v>12</v>
      </c>
      <c r="G221" s="2"/>
      <c r="H221" s="6">
        <f t="shared" si="110"/>
        <v>0.6</v>
      </c>
      <c r="I221" s="32">
        <f t="shared" si="111"/>
        <v>0.41802343851820367</v>
      </c>
      <c r="J221" s="7">
        <f t="shared" si="112"/>
        <v>0.75801793016922059</v>
      </c>
      <c r="K221" s="6">
        <f t="shared" si="113"/>
        <v>0.4</v>
      </c>
      <c r="L221" s="32">
        <f t="shared" si="114"/>
        <v>0.24198647075497337</v>
      </c>
      <c r="M221" s="7">
        <f t="shared" si="115"/>
        <v>0.5819809624059904</v>
      </c>
      <c r="N221" s="6">
        <f t="shared" si="116"/>
        <v>0.19999999999999996</v>
      </c>
      <c r="O221" s="32">
        <f t="shared" si="117"/>
        <v>-5.7356833223733361E-2</v>
      </c>
      <c r="P221" s="7">
        <f t="shared" si="118"/>
        <v>0.42346798804176305</v>
      </c>
      <c r="Q221" s="7" t="str">
        <f t="shared" si="119"/>
        <v>PASS</v>
      </c>
    </row>
    <row r="222" spans="2:17">
      <c r="B222" s="12">
        <v>13</v>
      </c>
      <c r="C222" s="13">
        <f t="shared" si="108"/>
        <v>7</v>
      </c>
      <c r="D222" s="1"/>
      <c r="E222" s="12">
        <v>8</v>
      </c>
      <c r="F222" s="13">
        <f t="shared" si="109"/>
        <v>12</v>
      </c>
      <c r="G222" s="2"/>
      <c r="H222" s="6">
        <f t="shared" si="110"/>
        <v>0.65</v>
      </c>
      <c r="I222" s="32">
        <f t="shared" si="111"/>
        <v>0.46595518412280768</v>
      </c>
      <c r="J222" s="7">
        <f t="shared" si="112"/>
        <v>0.79810466844623185</v>
      </c>
      <c r="K222" s="6">
        <f t="shared" si="113"/>
        <v>0.4</v>
      </c>
      <c r="L222" s="32">
        <f t="shared" si="114"/>
        <v>0.24198647075497337</v>
      </c>
      <c r="M222" s="7">
        <f t="shared" si="115"/>
        <v>0.5819809624059904</v>
      </c>
      <c r="N222" s="6">
        <f t="shared" si="116"/>
        <v>0.25</v>
      </c>
      <c r="O222" s="32">
        <f t="shared" si="117"/>
        <v>-8.8234242287202891E-3</v>
      </c>
      <c r="P222" s="7">
        <f t="shared" si="118"/>
        <v>0.46657162381077799</v>
      </c>
      <c r="Q222" s="7" t="str">
        <f t="shared" si="119"/>
        <v>PASS</v>
      </c>
    </row>
    <row r="223" spans="2:17">
      <c r="B223" s="12">
        <v>14</v>
      </c>
      <c r="C223" s="13">
        <f t="shared" si="108"/>
        <v>6</v>
      </c>
      <c r="D223" s="1"/>
      <c r="E223" s="12">
        <v>8</v>
      </c>
      <c r="F223" s="13">
        <f t="shared" si="109"/>
        <v>12</v>
      </c>
      <c r="G223" s="2"/>
      <c r="H223" s="6">
        <f t="shared" si="110"/>
        <v>0.7</v>
      </c>
      <c r="I223" s="32">
        <f t="shared" si="111"/>
        <v>0.51561697855622868</v>
      </c>
      <c r="J223" s="7">
        <f t="shared" si="112"/>
        <v>0.83646135789442599</v>
      </c>
      <c r="K223" s="6">
        <f t="shared" si="113"/>
        <v>0.4</v>
      </c>
      <c r="L223" s="32">
        <f t="shared" si="114"/>
        <v>0.24198647075497337</v>
      </c>
      <c r="M223" s="7">
        <f t="shared" si="115"/>
        <v>0.5819809624059904</v>
      </c>
      <c r="N223" s="6">
        <f t="shared" si="116"/>
        <v>0.29999999999999993</v>
      </c>
      <c r="O223" s="32">
        <f t="shared" si="117"/>
        <v>4.0935974564308253E-2</v>
      </c>
      <c r="P223" s="7">
        <f t="shared" si="118"/>
        <v>0.50878212955820601</v>
      </c>
      <c r="Q223" s="7" t="str">
        <f t="shared" si="119"/>
        <v>FAIL</v>
      </c>
    </row>
    <row r="224" spans="2:17">
      <c r="B224" s="12">
        <v>15</v>
      </c>
      <c r="C224" s="13">
        <f t="shared" si="108"/>
        <v>5</v>
      </c>
      <c r="D224" s="1"/>
      <c r="E224" s="12">
        <v>8</v>
      </c>
      <c r="F224" s="13">
        <f t="shared" si="109"/>
        <v>12</v>
      </c>
      <c r="G224" s="2"/>
      <c r="H224" s="6">
        <f t="shared" si="110"/>
        <v>0.75</v>
      </c>
      <c r="I224" s="32">
        <f t="shared" si="111"/>
        <v>0.56720064128904046</v>
      </c>
      <c r="J224" s="7">
        <f t="shared" si="112"/>
        <v>0.87289617904322925</v>
      </c>
      <c r="K224" s="6">
        <f t="shared" si="113"/>
        <v>0.4</v>
      </c>
      <c r="L224" s="32">
        <f t="shared" si="114"/>
        <v>0.24198647075497337</v>
      </c>
      <c r="M224" s="7">
        <f t="shared" si="115"/>
        <v>0.5819809624059904</v>
      </c>
      <c r="N224" s="6">
        <f t="shared" si="116"/>
        <v>0.35</v>
      </c>
      <c r="O224" s="32">
        <f t="shared" si="117"/>
        <v>9.2060712136850797E-2</v>
      </c>
      <c r="P224" s="7">
        <f t="shared" si="118"/>
        <v>0.55017928526172311</v>
      </c>
      <c r="Q224" s="7" t="str">
        <f t="shared" si="119"/>
        <v>FAIL</v>
      </c>
    </row>
    <row r="225" spans="2:17">
      <c r="B225" s="12">
        <v>16</v>
      </c>
      <c r="C225" s="13">
        <f t="shared" si="108"/>
        <v>4</v>
      </c>
      <c r="D225" s="1"/>
      <c r="E225" s="12">
        <v>8</v>
      </c>
      <c r="F225" s="13">
        <f t="shared" si="109"/>
        <v>12</v>
      </c>
      <c r="G225" s="2"/>
      <c r="H225" s="6">
        <f t="shared" si="110"/>
        <v>0.8</v>
      </c>
      <c r="I225" s="32">
        <f t="shared" si="111"/>
        <v>0.62101114036509186</v>
      </c>
      <c r="J225" s="7">
        <f t="shared" si="112"/>
        <v>0.907104163848793</v>
      </c>
      <c r="K225" s="6">
        <f t="shared" si="113"/>
        <v>0.4</v>
      </c>
      <c r="L225" s="32">
        <f t="shared" si="114"/>
        <v>0.24198647075497337</v>
      </c>
      <c r="M225" s="7">
        <f t="shared" si="115"/>
        <v>0.5819809624059904</v>
      </c>
      <c r="N225" s="6">
        <f t="shared" si="116"/>
        <v>0.4</v>
      </c>
      <c r="O225" s="32">
        <f t="shared" si="117"/>
        <v>0.14474702244319398</v>
      </c>
      <c r="P225" s="7">
        <f t="shared" si="118"/>
        <v>0.59089153291389851</v>
      </c>
      <c r="Q225" s="7" t="str">
        <f t="shared" si="119"/>
        <v>FAIL</v>
      </c>
    </row>
    <row r="226" spans="2:17">
      <c r="B226" s="12">
        <v>17</v>
      </c>
      <c r="C226" s="13">
        <f t="shared" si="108"/>
        <v>3</v>
      </c>
      <c r="D226" s="1"/>
      <c r="E226" s="12">
        <v>8</v>
      </c>
      <c r="F226" s="13">
        <f t="shared" si="109"/>
        <v>12</v>
      </c>
      <c r="G226" s="2"/>
      <c r="H226" s="6">
        <f t="shared" si="110"/>
        <v>0.85</v>
      </c>
      <c r="I226" s="32">
        <f t="shared" si="111"/>
        <v>0.67754918969065736</v>
      </c>
      <c r="J226" s="7">
        <f t="shared" si="112"/>
        <v>0.93858459840484276</v>
      </c>
      <c r="K226" s="6">
        <f t="shared" si="113"/>
        <v>0.4</v>
      </c>
      <c r="L226" s="32">
        <f t="shared" si="114"/>
        <v>0.24198647075497337</v>
      </c>
      <c r="M226" s="7">
        <f t="shared" si="115"/>
        <v>0.5819809624059904</v>
      </c>
      <c r="N226" s="6">
        <f t="shared" si="116"/>
        <v>0.44999999999999996</v>
      </c>
      <c r="O226" s="32">
        <f t="shared" si="117"/>
        <v>0.1992883077027332</v>
      </c>
      <c r="P226" s="7">
        <f t="shared" si="118"/>
        <v>0.63115050786298155</v>
      </c>
      <c r="Q226" s="7" t="str">
        <f t="shared" si="119"/>
        <v>FAIL</v>
      </c>
    </row>
    <row r="227" spans="2:17">
      <c r="B227" s="12">
        <v>18</v>
      </c>
      <c r="C227" s="13">
        <f t="shared" si="108"/>
        <v>2</v>
      </c>
      <c r="D227" s="1"/>
      <c r="E227" s="12">
        <v>8</v>
      </c>
      <c r="F227" s="13">
        <f t="shared" si="109"/>
        <v>12</v>
      </c>
      <c r="G227" s="2"/>
      <c r="H227" s="6">
        <f t="shared" si="110"/>
        <v>0.9</v>
      </c>
      <c r="I227" s="32">
        <f t="shared" si="111"/>
        <v>0.7377076948078376</v>
      </c>
      <c r="J227" s="7">
        <f t="shared" si="112"/>
        <v>0.96644457716927756</v>
      </c>
      <c r="K227" s="6">
        <f t="shared" si="113"/>
        <v>0.4</v>
      </c>
      <c r="L227" s="32">
        <f t="shared" si="114"/>
        <v>0.24198647075497337</v>
      </c>
      <c r="M227" s="7">
        <f t="shared" si="115"/>
        <v>0.5819809624059904</v>
      </c>
      <c r="N227" s="6">
        <f t="shared" si="116"/>
        <v>0.5</v>
      </c>
      <c r="O227" s="32">
        <f t="shared" si="117"/>
        <v>0.2561642704548891</v>
      </c>
      <c r="P227" s="7">
        <f t="shared" si="118"/>
        <v>0.67141516053042971</v>
      </c>
      <c r="Q227" s="7" t="str">
        <f t="shared" si="119"/>
        <v>FAIL</v>
      </c>
    </row>
    <row r="228" spans="2:17">
      <c r="B228" s="12">
        <v>19</v>
      </c>
      <c r="C228" s="13">
        <f t="shared" si="108"/>
        <v>1</v>
      </c>
      <c r="D228" s="1"/>
      <c r="E228" s="12">
        <v>8</v>
      </c>
      <c r="F228" s="13">
        <f t="shared" si="109"/>
        <v>12</v>
      </c>
      <c r="G228" s="2"/>
      <c r="H228" s="6">
        <f t="shared" si="110"/>
        <v>0.95</v>
      </c>
      <c r="I228" s="32">
        <f t="shared" si="111"/>
        <v>0.80335937249454403</v>
      </c>
      <c r="J228" s="7">
        <f t="shared" si="112"/>
        <v>0.98881138336418628</v>
      </c>
      <c r="K228" s="6">
        <f t="shared" si="113"/>
        <v>0.4</v>
      </c>
      <c r="L228" s="32">
        <f t="shared" si="114"/>
        <v>0.24198647075497337</v>
      </c>
      <c r="M228" s="7">
        <f t="shared" si="115"/>
        <v>0.5819809624059904</v>
      </c>
      <c r="N228" s="6">
        <f t="shared" si="116"/>
        <v>0.54999999999999993</v>
      </c>
      <c r="O228" s="32">
        <f t="shared" si="117"/>
        <v>0.31628961445112375</v>
      </c>
      <c r="P228" s="7">
        <f t="shared" si="118"/>
        <v>0.71271016840723478</v>
      </c>
      <c r="Q228" s="7" t="str">
        <f t="shared" si="119"/>
        <v>FAIL</v>
      </c>
    </row>
    <row r="229" spans="2:17" ht="15" thickBot="1">
      <c r="B229" s="15">
        <v>20</v>
      </c>
      <c r="C229" s="14">
        <f t="shared" si="108"/>
        <v>0</v>
      </c>
      <c r="D229" s="1"/>
      <c r="E229" s="15">
        <v>8</v>
      </c>
      <c r="F229" s="14">
        <f t="shared" si="109"/>
        <v>12</v>
      </c>
      <c r="G229" s="2"/>
      <c r="H229" s="8">
        <f t="shared" si="110"/>
        <v>1</v>
      </c>
      <c r="I229" s="16">
        <f t="shared" si="111"/>
        <v>0.88018813951940023</v>
      </c>
      <c r="J229" s="9">
        <f t="shared" si="112"/>
        <v>1.0000011002209452</v>
      </c>
      <c r="K229" s="8">
        <f t="shared" si="113"/>
        <v>0.4</v>
      </c>
      <c r="L229" s="16">
        <f t="shared" si="114"/>
        <v>0.24198647075497337</v>
      </c>
      <c r="M229" s="9">
        <f t="shared" si="115"/>
        <v>0.5819809624059904</v>
      </c>
      <c r="N229" s="8">
        <f t="shared" si="116"/>
        <v>0.6</v>
      </c>
      <c r="O229" s="16">
        <f t="shared" si="117"/>
        <v>0.3821194074956808</v>
      </c>
      <c r="P229" s="9">
        <f t="shared" si="118"/>
        <v>0.75801352924885701</v>
      </c>
      <c r="Q229" s="9" t="str">
        <f t="shared" si="119"/>
        <v>FAIL</v>
      </c>
    </row>
    <row r="230" spans="2:17" ht="15" thickBot="1"/>
    <row r="231" spans="2:17">
      <c r="B231" s="3">
        <v>0</v>
      </c>
      <c r="C231" s="11">
        <f>20-B231</f>
        <v>20</v>
      </c>
      <c r="D231" s="1"/>
      <c r="E231" s="3">
        <v>9</v>
      </c>
      <c r="F231" s="11">
        <f>20-E231</f>
        <v>11</v>
      </c>
      <c r="G231" s="2"/>
      <c r="H231" s="5">
        <f>B231/SUM(B231:C231)</f>
        <v>0</v>
      </c>
      <c r="I231" s="41">
        <f>((B231+1.3613)-(1.65*SQRT(B231-(B231^2/SUM(B231:C231))+0.6806)))/(SUM(B231:C231)+2.7225)</f>
        <v>3.3007032488877747E-6</v>
      </c>
      <c r="J231" s="4">
        <f>((B231+1.3613)+(1.65*SQRT(B231-(B231^2/SUM(B231:C231))+0.6806)))/(SUM(B231:C231)+2.7225)</f>
        <v>0.1198162614047938</v>
      </c>
      <c r="K231" s="5">
        <f>E231/SUM(E231:F231)</f>
        <v>0.45</v>
      </c>
      <c r="L231" s="41">
        <f>((E231+1.3613)-(1.65*SQRT(E231-(E231^2/SUM(E231:F231))+0.6806)))/(SUM(E231:F231)+2.7225)</f>
        <v>0.28368506621578338</v>
      </c>
      <c r="M231" s="4">
        <f>((E231+1.3613)+(1.65*SQRT(E231-(E231^2/SUM(E231:F231))+0.6806)))/(SUM(E231:F231)+2.7225)</f>
        <v>0.62830085082679554</v>
      </c>
      <c r="N231" s="5">
        <f>H231-K231</f>
        <v>-0.45</v>
      </c>
      <c r="O231" s="41">
        <f>N231-SQRT((H231-I231)^2+(K231-M231)^2)</f>
        <v>-0.62830085085734688</v>
      </c>
      <c r="P231" s="4">
        <f>N231+SQRT((H231-J231)^2+(K231-L231)^2)</f>
        <v>-0.24502050420427354</v>
      </c>
      <c r="Q231" s="4" t="str">
        <f>IF(O231*P231&lt;0,"PASS","FAIL")</f>
        <v>FAIL</v>
      </c>
    </row>
    <row r="232" spans="2:17">
      <c r="B232" s="12">
        <v>1</v>
      </c>
      <c r="C232" s="13">
        <f t="shared" ref="C232:C251" si="120">20-B232</f>
        <v>19</v>
      </c>
      <c r="D232" s="1"/>
      <c r="E232" s="12">
        <v>9</v>
      </c>
      <c r="F232" s="13">
        <f t="shared" ref="F232:F251" si="121">20-E232</f>
        <v>11</v>
      </c>
      <c r="G232" s="2"/>
      <c r="H232" s="6">
        <f t="shared" ref="H232:H251" si="122">B232/SUM(B232:C232)</f>
        <v>0.05</v>
      </c>
      <c r="I232" s="32">
        <f t="shared" ref="I232:I251" si="123">((B232+1.3613)-(1.65*SQRT(B232-(B232^2/SUM(B232:C232))+0.6806)))/(SUM(B232:C232)+2.7225)</f>
        <v>1.1193017560007713E-2</v>
      </c>
      <c r="J232" s="7">
        <f t="shared" ref="J232:J251" si="124">((B232+1.3613)+(1.65*SQRT(B232-(B232^2/SUM(B232:C232))+0.6806)))/(SUM(B232:C232)+2.7225)</f>
        <v>0.19664502842965012</v>
      </c>
      <c r="K232" s="6">
        <f t="shared" ref="K232:K251" si="125">E232/SUM(E232:F232)</f>
        <v>0.45</v>
      </c>
      <c r="L232" s="32">
        <f t="shared" ref="L232:L251" si="126">((E232+1.3613)-(1.65*SQRT(E232-(E232^2/SUM(E232:F232))+0.6806)))/(SUM(E232:F232)+2.7225)</f>
        <v>0.28368506621578338</v>
      </c>
      <c r="M232" s="7">
        <f t="shared" ref="M232:M251" si="127">((E232+1.3613)+(1.65*SQRT(E232-(E232^2/SUM(E232:F232))+0.6806)))/(SUM(E232:F232)+2.7225)</f>
        <v>0.62830085082679554</v>
      </c>
      <c r="N232" s="6">
        <f t="shared" ref="N232:N251" si="128">H232-K232</f>
        <v>-0.4</v>
      </c>
      <c r="O232" s="32">
        <f t="shared" ref="O232:O251" si="129">N232-SQRT((H232-I232)^2+(K232-M232)^2)</f>
        <v>-0.58247513609162505</v>
      </c>
      <c r="P232" s="7">
        <f t="shared" ref="P232:P251" si="130">N232+SQRT((H232-J232)^2+(K232-L232)^2)</f>
        <v>-0.17826722938911072</v>
      </c>
      <c r="Q232" s="7" t="str">
        <f t="shared" ref="Q232:Q251" si="131">IF(O232*P232&lt;0,"PASS","FAIL")</f>
        <v>FAIL</v>
      </c>
    </row>
    <row r="233" spans="2:17">
      <c r="B233" s="12">
        <v>2</v>
      </c>
      <c r="C233" s="13">
        <f t="shared" si="120"/>
        <v>18</v>
      </c>
      <c r="D233" s="1"/>
      <c r="E233" s="12">
        <v>9</v>
      </c>
      <c r="F233" s="13">
        <f t="shared" si="121"/>
        <v>11</v>
      </c>
      <c r="G233" s="2"/>
      <c r="H233" s="6">
        <f t="shared" si="122"/>
        <v>0.1</v>
      </c>
      <c r="I233" s="32">
        <f t="shared" si="123"/>
        <v>3.3559823754916465E-2</v>
      </c>
      <c r="J233" s="7">
        <f t="shared" si="124"/>
        <v>0.26229670611635653</v>
      </c>
      <c r="K233" s="6">
        <f t="shared" si="125"/>
        <v>0.45</v>
      </c>
      <c r="L233" s="32">
        <f t="shared" si="126"/>
        <v>0.28368506621578338</v>
      </c>
      <c r="M233" s="7">
        <f t="shared" si="127"/>
        <v>0.62830085082679554</v>
      </c>
      <c r="N233" s="6">
        <f t="shared" si="128"/>
        <v>-0.35</v>
      </c>
      <c r="O233" s="32">
        <f t="shared" si="129"/>
        <v>-0.54027740387402012</v>
      </c>
      <c r="P233" s="7">
        <f t="shared" si="130"/>
        <v>-0.11761911004588316</v>
      </c>
      <c r="Q233" s="7" t="str">
        <f t="shared" si="131"/>
        <v>FAIL</v>
      </c>
    </row>
    <row r="234" spans="2:17">
      <c r="B234" s="12">
        <v>3</v>
      </c>
      <c r="C234" s="13">
        <f t="shared" si="120"/>
        <v>17</v>
      </c>
      <c r="D234" s="1"/>
      <c r="E234" s="12">
        <v>9</v>
      </c>
      <c r="F234" s="13">
        <f t="shared" si="121"/>
        <v>11</v>
      </c>
      <c r="G234" s="2"/>
      <c r="H234" s="6">
        <f t="shared" si="122"/>
        <v>0.15</v>
      </c>
      <c r="I234" s="32">
        <f t="shared" si="123"/>
        <v>6.1419802519351356E-2</v>
      </c>
      <c r="J234" s="7">
        <f t="shared" si="124"/>
        <v>0.32245521123353676</v>
      </c>
      <c r="K234" s="6">
        <f t="shared" si="125"/>
        <v>0.45</v>
      </c>
      <c r="L234" s="32">
        <f t="shared" si="126"/>
        <v>0.28368506621578338</v>
      </c>
      <c r="M234" s="7">
        <f t="shared" si="127"/>
        <v>0.62830085082679554</v>
      </c>
      <c r="N234" s="6">
        <f t="shared" si="128"/>
        <v>-0.30000000000000004</v>
      </c>
      <c r="O234" s="32">
        <f t="shared" si="129"/>
        <v>-0.49909205104993498</v>
      </c>
      <c r="P234" s="7">
        <f t="shared" si="130"/>
        <v>-6.0413988135258362E-2</v>
      </c>
      <c r="Q234" s="7" t="str">
        <f t="shared" si="131"/>
        <v>FAIL</v>
      </c>
    </row>
    <row r="235" spans="2:17">
      <c r="B235" s="12">
        <v>4</v>
      </c>
      <c r="C235" s="13">
        <f t="shared" si="120"/>
        <v>16</v>
      </c>
      <c r="D235" s="1"/>
      <c r="E235" s="12">
        <v>9</v>
      </c>
      <c r="F235" s="13">
        <f t="shared" si="121"/>
        <v>11</v>
      </c>
      <c r="G235" s="2"/>
      <c r="H235" s="6">
        <f t="shared" si="122"/>
        <v>0.2</v>
      </c>
      <c r="I235" s="32">
        <f t="shared" si="123"/>
        <v>9.2900237075401015E-2</v>
      </c>
      <c r="J235" s="7">
        <f t="shared" si="124"/>
        <v>0.37899326055910226</v>
      </c>
      <c r="K235" s="6">
        <f t="shared" si="125"/>
        <v>0.45</v>
      </c>
      <c r="L235" s="32">
        <f t="shared" si="126"/>
        <v>0.28368506621578338</v>
      </c>
      <c r="M235" s="7">
        <f t="shared" si="127"/>
        <v>0.62830085082679554</v>
      </c>
      <c r="N235" s="6">
        <f t="shared" si="128"/>
        <v>-0.25</v>
      </c>
      <c r="O235" s="32">
        <f t="shared" si="129"/>
        <v>-0.45799411680156843</v>
      </c>
      <c r="P235" s="7">
        <f t="shared" si="130"/>
        <v>-5.6657115236851963E-3</v>
      </c>
      <c r="Q235" s="7" t="str">
        <f t="shared" si="131"/>
        <v>FAIL</v>
      </c>
    </row>
    <row r="236" spans="2:17">
      <c r="B236" s="12">
        <v>5</v>
      </c>
      <c r="C236" s="13">
        <f t="shared" si="120"/>
        <v>15</v>
      </c>
      <c r="D236" s="1"/>
      <c r="E236" s="12">
        <v>9</v>
      </c>
      <c r="F236" s="13">
        <f t="shared" si="121"/>
        <v>11</v>
      </c>
      <c r="G236" s="2"/>
      <c r="H236" s="6">
        <f t="shared" si="122"/>
        <v>0.25</v>
      </c>
      <c r="I236" s="32">
        <f t="shared" si="123"/>
        <v>0.12710822188096477</v>
      </c>
      <c r="J236" s="7">
        <f t="shared" si="124"/>
        <v>0.43280375963515361</v>
      </c>
      <c r="K236" s="6">
        <f t="shared" si="125"/>
        <v>0.45</v>
      </c>
      <c r="L236" s="32">
        <f t="shared" si="126"/>
        <v>0.28368506621578338</v>
      </c>
      <c r="M236" s="7">
        <f t="shared" si="127"/>
        <v>0.62830085082679554</v>
      </c>
      <c r="N236" s="6">
        <f t="shared" si="128"/>
        <v>-0.2</v>
      </c>
      <c r="O236" s="32">
        <f t="shared" si="129"/>
        <v>-0.41654926121974506</v>
      </c>
      <c r="P236" s="7">
        <f t="shared" si="130"/>
        <v>4.7139377146571626E-2</v>
      </c>
      <c r="Q236" s="7" t="str">
        <f t="shared" si="131"/>
        <v>PASS</v>
      </c>
    </row>
    <row r="237" spans="2:17">
      <c r="B237" s="12">
        <v>6</v>
      </c>
      <c r="C237" s="13">
        <f t="shared" si="120"/>
        <v>14</v>
      </c>
      <c r="D237" s="1"/>
      <c r="E237" s="12">
        <v>9</v>
      </c>
      <c r="F237" s="13">
        <f t="shared" si="121"/>
        <v>11</v>
      </c>
      <c r="G237" s="2"/>
      <c r="H237" s="6">
        <f t="shared" si="122"/>
        <v>0.3</v>
      </c>
      <c r="I237" s="32">
        <f t="shared" si="123"/>
        <v>0.16354304302976813</v>
      </c>
      <c r="J237" s="7">
        <f t="shared" si="124"/>
        <v>0.48438742236796539</v>
      </c>
      <c r="K237" s="6">
        <f t="shared" si="125"/>
        <v>0.45</v>
      </c>
      <c r="L237" s="32">
        <f t="shared" si="126"/>
        <v>0.28368506621578338</v>
      </c>
      <c r="M237" s="7">
        <f t="shared" si="127"/>
        <v>0.62830085082679554</v>
      </c>
      <c r="N237" s="6">
        <f t="shared" si="128"/>
        <v>-0.15000000000000002</v>
      </c>
      <c r="O237" s="32">
        <f t="shared" si="129"/>
        <v>-0.3745254874421497</v>
      </c>
      <c r="P237" s="7">
        <f t="shared" si="130"/>
        <v>9.8313065961400464E-2</v>
      </c>
      <c r="Q237" s="7" t="str">
        <f t="shared" si="131"/>
        <v>PASS</v>
      </c>
    </row>
    <row r="238" spans="2:17">
      <c r="B238" s="12">
        <v>7</v>
      </c>
      <c r="C238" s="13">
        <f t="shared" si="120"/>
        <v>13</v>
      </c>
      <c r="D238" s="1"/>
      <c r="E238" s="12">
        <v>9</v>
      </c>
      <c r="F238" s="13">
        <f t="shared" si="121"/>
        <v>11</v>
      </c>
      <c r="G238" s="2"/>
      <c r="H238" s="6">
        <f t="shared" si="122"/>
        <v>0.35</v>
      </c>
      <c r="I238" s="32">
        <f t="shared" si="123"/>
        <v>0.20189973247796225</v>
      </c>
      <c r="J238" s="7">
        <f t="shared" si="124"/>
        <v>0.53404921680138639</v>
      </c>
      <c r="K238" s="6">
        <f t="shared" si="125"/>
        <v>0.45</v>
      </c>
      <c r="L238" s="32">
        <f t="shared" si="126"/>
        <v>0.28368506621578338</v>
      </c>
      <c r="M238" s="7">
        <f t="shared" si="127"/>
        <v>0.62830085082679554</v>
      </c>
      <c r="N238" s="6">
        <f t="shared" si="128"/>
        <v>-0.10000000000000003</v>
      </c>
      <c r="O238" s="32">
        <f t="shared" si="129"/>
        <v>-0.3317862865780854</v>
      </c>
      <c r="P238" s="7">
        <f t="shared" si="130"/>
        <v>0.14806203136484244</v>
      </c>
      <c r="Q238" s="7" t="str">
        <f t="shared" si="131"/>
        <v>PASS</v>
      </c>
    </row>
    <row r="239" spans="2:17">
      <c r="B239" s="12">
        <v>8</v>
      </c>
      <c r="C239" s="13">
        <f t="shared" si="120"/>
        <v>12</v>
      </c>
      <c r="D239" s="1"/>
      <c r="E239" s="12">
        <v>9</v>
      </c>
      <c r="F239" s="13">
        <f t="shared" si="121"/>
        <v>11</v>
      </c>
      <c r="G239" s="2"/>
      <c r="H239" s="6">
        <f t="shared" si="122"/>
        <v>0.4</v>
      </c>
      <c r="I239" s="32">
        <f t="shared" si="123"/>
        <v>0.24198647075497337</v>
      </c>
      <c r="J239" s="7">
        <f t="shared" si="124"/>
        <v>0.5819809624059904</v>
      </c>
      <c r="K239" s="6">
        <f t="shared" si="125"/>
        <v>0.45</v>
      </c>
      <c r="L239" s="32">
        <f t="shared" si="126"/>
        <v>0.28368506621578338</v>
      </c>
      <c r="M239" s="7">
        <f t="shared" si="127"/>
        <v>0.62830085082679554</v>
      </c>
      <c r="N239" s="6">
        <f t="shared" si="128"/>
        <v>-4.9999999999999989E-2</v>
      </c>
      <c r="O239" s="32">
        <f t="shared" si="129"/>
        <v>-0.28824245807586035</v>
      </c>
      <c r="P239" s="7">
        <f t="shared" si="130"/>
        <v>0.19653139329071023</v>
      </c>
      <c r="Q239" s="7" t="str">
        <f t="shared" si="131"/>
        <v>PASS</v>
      </c>
    </row>
    <row r="240" spans="2:17">
      <c r="B240" s="12">
        <v>9</v>
      </c>
      <c r="C240" s="13">
        <f t="shared" si="120"/>
        <v>11</v>
      </c>
      <c r="D240" s="1"/>
      <c r="E240" s="12">
        <v>9</v>
      </c>
      <c r="F240" s="13">
        <f t="shared" si="121"/>
        <v>11</v>
      </c>
      <c r="G240" s="2"/>
      <c r="H240" s="6">
        <f t="shared" si="122"/>
        <v>0.45</v>
      </c>
      <c r="I240" s="32">
        <f t="shared" si="123"/>
        <v>0.28368506621578338</v>
      </c>
      <c r="J240" s="7">
        <f t="shared" si="124"/>
        <v>0.62830085082679554</v>
      </c>
      <c r="K240" s="6">
        <f t="shared" si="125"/>
        <v>0.45</v>
      </c>
      <c r="L240" s="32">
        <f t="shared" si="126"/>
        <v>0.28368506621578338</v>
      </c>
      <c r="M240" s="7">
        <f t="shared" si="127"/>
        <v>0.62830085082679554</v>
      </c>
      <c r="N240" s="6">
        <f t="shared" si="128"/>
        <v>0</v>
      </c>
      <c r="O240" s="32">
        <f t="shared" si="129"/>
        <v>-0.24382750174089787</v>
      </c>
      <c r="P240" s="7">
        <f t="shared" si="130"/>
        <v>0.24382750174089787</v>
      </c>
      <c r="Q240" s="7" t="str">
        <f t="shared" si="131"/>
        <v>PASS</v>
      </c>
    </row>
    <row r="241" spans="2:17">
      <c r="B241" s="12">
        <v>10</v>
      </c>
      <c r="C241" s="13">
        <f t="shared" si="120"/>
        <v>10</v>
      </c>
      <c r="D241" s="1"/>
      <c r="E241" s="12">
        <v>9</v>
      </c>
      <c r="F241" s="13">
        <f t="shared" si="121"/>
        <v>11</v>
      </c>
      <c r="G241" s="2"/>
      <c r="H241" s="6">
        <f t="shared" si="122"/>
        <v>0.5</v>
      </c>
      <c r="I241" s="32">
        <f t="shared" si="123"/>
        <v>0.32693094787634341</v>
      </c>
      <c r="J241" s="7">
        <f t="shared" si="124"/>
        <v>0.6730734530478506</v>
      </c>
      <c r="K241" s="6">
        <f t="shared" si="125"/>
        <v>0.45</v>
      </c>
      <c r="L241" s="32">
        <f t="shared" si="126"/>
        <v>0.28368506621578338</v>
      </c>
      <c r="M241" s="7">
        <f t="shared" si="127"/>
        <v>0.62830085082679554</v>
      </c>
      <c r="N241" s="6">
        <f t="shared" si="128"/>
        <v>4.9999999999999989E-2</v>
      </c>
      <c r="O241" s="32">
        <f t="shared" si="129"/>
        <v>-0.19848358136613403</v>
      </c>
      <c r="P241" s="7">
        <f t="shared" si="130"/>
        <v>0.29003140908963332</v>
      </c>
      <c r="Q241" s="7" t="str">
        <f t="shared" si="131"/>
        <v>PASS</v>
      </c>
    </row>
    <row r="242" spans="2:17">
      <c r="B242" s="12">
        <v>11</v>
      </c>
      <c r="C242" s="13">
        <f t="shared" si="120"/>
        <v>9</v>
      </c>
      <c r="D242" s="1"/>
      <c r="E242" s="12">
        <v>9</v>
      </c>
      <c r="F242" s="13">
        <f t="shared" si="121"/>
        <v>11</v>
      </c>
      <c r="G242" s="2"/>
      <c r="H242" s="6">
        <f t="shared" si="122"/>
        <v>0.55000000000000004</v>
      </c>
      <c r="I242" s="32">
        <f t="shared" si="123"/>
        <v>0.37170355009739847</v>
      </c>
      <c r="J242" s="7">
        <f t="shared" si="124"/>
        <v>0.71631933470841069</v>
      </c>
      <c r="K242" s="6">
        <f t="shared" si="125"/>
        <v>0.45</v>
      </c>
      <c r="L242" s="32">
        <f t="shared" si="126"/>
        <v>0.28368506621578338</v>
      </c>
      <c r="M242" s="7">
        <f t="shared" si="127"/>
        <v>0.62830085082679554</v>
      </c>
      <c r="N242" s="6">
        <f t="shared" si="128"/>
        <v>0.10000000000000003</v>
      </c>
      <c r="O242" s="32">
        <f t="shared" si="129"/>
        <v>-0.15215236951777805</v>
      </c>
      <c r="P242" s="7">
        <f t="shared" si="130"/>
        <v>0.33520794692674971</v>
      </c>
      <c r="Q242" s="7" t="str">
        <f t="shared" si="131"/>
        <v>PASS</v>
      </c>
    </row>
    <row r="243" spans="2:17">
      <c r="B243" s="12">
        <v>12</v>
      </c>
      <c r="C243" s="13">
        <f t="shared" si="120"/>
        <v>8</v>
      </c>
      <c r="D243" s="1"/>
      <c r="E243" s="12">
        <v>9</v>
      </c>
      <c r="F243" s="13">
        <f t="shared" si="121"/>
        <v>11</v>
      </c>
      <c r="G243" s="2"/>
      <c r="H243" s="6">
        <f t="shared" si="122"/>
        <v>0.6</v>
      </c>
      <c r="I243" s="32">
        <f t="shared" si="123"/>
        <v>0.41802343851820367</v>
      </c>
      <c r="J243" s="7">
        <f t="shared" si="124"/>
        <v>0.75801793016922059</v>
      </c>
      <c r="K243" s="6">
        <f t="shared" si="125"/>
        <v>0.45</v>
      </c>
      <c r="L243" s="32">
        <f t="shared" si="126"/>
        <v>0.28368506621578338</v>
      </c>
      <c r="M243" s="7">
        <f t="shared" si="127"/>
        <v>0.62830085082679554</v>
      </c>
      <c r="N243" s="6">
        <f t="shared" si="128"/>
        <v>0.14999999999999997</v>
      </c>
      <c r="O243" s="32">
        <f t="shared" si="129"/>
        <v>-0.10476785969642483</v>
      </c>
      <c r="P243" s="7">
        <f t="shared" si="130"/>
        <v>0.37941299757122093</v>
      </c>
      <c r="Q243" s="7" t="str">
        <f t="shared" si="131"/>
        <v>PASS</v>
      </c>
    </row>
    <row r="244" spans="2:17">
      <c r="B244" s="12">
        <v>13</v>
      </c>
      <c r="C244" s="13">
        <f t="shared" si="120"/>
        <v>7</v>
      </c>
      <c r="D244" s="1"/>
      <c r="E244" s="12">
        <v>9</v>
      </c>
      <c r="F244" s="13">
        <f t="shared" si="121"/>
        <v>11</v>
      </c>
      <c r="G244" s="2"/>
      <c r="H244" s="6">
        <f t="shared" si="122"/>
        <v>0.65</v>
      </c>
      <c r="I244" s="32">
        <f t="shared" si="123"/>
        <v>0.46595518412280768</v>
      </c>
      <c r="J244" s="7">
        <f t="shared" si="124"/>
        <v>0.79810466844623185</v>
      </c>
      <c r="K244" s="6">
        <f t="shared" si="125"/>
        <v>0.45</v>
      </c>
      <c r="L244" s="32">
        <f t="shared" si="126"/>
        <v>0.28368506621578338</v>
      </c>
      <c r="M244" s="7">
        <f t="shared" si="127"/>
        <v>0.62830085082679554</v>
      </c>
      <c r="N244" s="6">
        <f t="shared" si="128"/>
        <v>0.2</v>
      </c>
      <c r="O244" s="32">
        <f t="shared" si="129"/>
        <v>-5.6249268597646562E-2</v>
      </c>
      <c r="P244" s="7">
        <f t="shared" si="130"/>
        <v>0.42270080829493328</v>
      </c>
      <c r="Q244" s="7" t="str">
        <f t="shared" si="131"/>
        <v>PASS</v>
      </c>
    </row>
    <row r="245" spans="2:17">
      <c r="B245" s="12">
        <v>14</v>
      </c>
      <c r="C245" s="13">
        <f t="shared" si="120"/>
        <v>6</v>
      </c>
      <c r="D245" s="1"/>
      <c r="E245" s="12">
        <v>9</v>
      </c>
      <c r="F245" s="13">
        <f t="shared" si="121"/>
        <v>11</v>
      </c>
      <c r="G245" s="2"/>
      <c r="H245" s="6">
        <f t="shared" si="122"/>
        <v>0.7</v>
      </c>
      <c r="I245" s="32">
        <f t="shared" si="123"/>
        <v>0.51561697855622868</v>
      </c>
      <c r="J245" s="7">
        <f t="shared" si="124"/>
        <v>0.83646135789442599</v>
      </c>
      <c r="K245" s="6">
        <f t="shared" si="125"/>
        <v>0.45</v>
      </c>
      <c r="L245" s="32">
        <f t="shared" si="126"/>
        <v>0.28368506621578338</v>
      </c>
      <c r="M245" s="7">
        <f t="shared" si="127"/>
        <v>0.62830085082679554</v>
      </c>
      <c r="N245" s="6">
        <f t="shared" si="128"/>
        <v>0.24999999999999994</v>
      </c>
      <c r="O245" s="32">
        <f t="shared" si="129"/>
        <v>-6.4922844888193332E-3</v>
      </c>
      <c r="P245" s="7">
        <f t="shared" si="130"/>
        <v>0.46513335259331356</v>
      </c>
      <c r="Q245" s="7" t="str">
        <f t="shared" si="131"/>
        <v>PASS</v>
      </c>
    </row>
    <row r="246" spans="2:17">
      <c r="B246" s="12">
        <v>15</v>
      </c>
      <c r="C246" s="13">
        <f t="shared" si="120"/>
        <v>5</v>
      </c>
      <c r="D246" s="1"/>
      <c r="E246" s="12">
        <v>9</v>
      </c>
      <c r="F246" s="13">
        <f t="shared" si="121"/>
        <v>11</v>
      </c>
      <c r="G246" s="2"/>
      <c r="H246" s="6">
        <f t="shared" si="122"/>
        <v>0.75</v>
      </c>
      <c r="I246" s="32">
        <f t="shared" si="123"/>
        <v>0.56720064128904046</v>
      </c>
      <c r="J246" s="7">
        <f t="shared" si="124"/>
        <v>0.87289617904322925</v>
      </c>
      <c r="K246" s="6">
        <f t="shared" si="125"/>
        <v>0.45</v>
      </c>
      <c r="L246" s="32">
        <f t="shared" si="126"/>
        <v>0.28368506621578338</v>
      </c>
      <c r="M246" s="7">
        <f t="shared" si="127"/>
        <v>0.62830085082679554</v>
      </c>
      <c r="N246" s="6">
        <f t="shared" si="128"/>
        <v>0.3</v>
      </c>
      <c r="O246" s="32">
        <f t="shared" si="129"/>
        <v>4.4643780278025624E-2</v>
      </c>
      <c r="P246" s="7">
        <f t="shared" si="130"/>
        <v>0.50679489360976449</v>
      </c>
      <c r="Q246" s="7" t="str">
        <f t="shared" si="131"/>
        <v>FAIL</v>
      </c>
    </row>
    <row r="247" spans="2:17">
      <c r="B247" s="12">
        <v>16</v>
      </c>
      <c r="C247" s="13">
        <f t="shared" si="120"/>
        <v>4</v>
      </c>
      <c r="D247" s="1"/>
      <c r="E247" s="12">
        <v>9</v>
      </c>
      <c r="F247" s="13">
        <f t="shared" si="121"/>
        <v>11</v>
      </c>
      <c r="G247" s="2"/>
      <c r="H247" s="6">
        <f t="shared" si="122"/>
        <v>0.8</v>
      </c>
      <c r="I247" s="32">
        <f t="shared" si="123"/>
        <v>0.62101114036509186</v>
      </c>
      <c r="J247" s="7">
        <f t="shared" si="124"/>
        <v>0.907104163848793</v>
      </c>
      <c r="K247" s="6">
        <f t="shared" si="125"/>
        <v>0.45</v>
      </c>
      <c r="L247" s="32">
        <f t="shared" si="126"/>
        <v>0.28368506621578338</v>
      </c>
      <c r="M247" s="7">
        <f t="shared" si="127"/>
        <v>0.62830085082679554</v>
      </c>
      <c r="N247" s="6">
        <f t="shared" si="128"/>
        <v>0.35000000000000003</v>
      </c>
      <c r="O247" s="32">
        <f t="shared" si="129"/>
        <v>9.7357554478737618E-2</v>
      </c>
      <c r="P247" s="7">
        <f t="shared" si="130"/>
        <v>0.5478179949180495</v>
      </c>
      <c r="Q247" s="7" t="str">
        <f t="shared" si="131"/>
        <v>FAIL</v>
      </c>
    </row>
    <row r="248" spans="2:17">
      <c r="B248" s="12">
        <v>17</v>
      </c>
      <c r="C248" s="13">
        <f t="shared" si="120"/>
        <v>3</v>
      </c>
      <c r="D248" s="1"/>
      <c r="E248" s="12">
        <v>9</v>
      </c>
      <c r="F248" s="13">
        <f t="shared" si="121"/>
        <v>11</v>
      </c>
      <c r="G248" s="2"/>
      <c r="H248" s="6">
        <f t="shared" si="122"/>
        <v>0.85</v>
      </c>
      <c r="I248" s="32">
        <f t="shared" si="123"/>
        <v>0.67754918969065736</v>
      </c>
      <c r="J248" s="7">
        <f t="shared" si="124"/>
        <v>0.93858459840484276</v>
      </c>
      <c r="K248" s="6">
        <f t="shared" si="125"/>
        <v>0.45</v>
      </c>
      <c r="L248" s="32">
        <f t="shared" si="126"/>
        <v>0.28368506621578338</v>
      </c>
      <c r="M248" s="7">
        <f t="shared" si="127"/>
        <v>0.62830085082679554</v>
      </c>
      <c r="N248" s="6">
        <f t="shared" si="128"/>
        <v>0.39999999999999997</v>
      </c>
      <c r="O248" s="32">
        <f t="shared" si="129"/>
        <v>0.15194662795698971</v>
      </c>
      <c r="P248" s="7">
        <f t="shared" si="130"/>
        <v>0.58843536895762327</v>
      </c>
      <c r="Q248" s="7" t="str">
        <f t="shared" si="131"/>
        <v>FAIL</v>
      </c>
    </row>
    <row r="249" spans="2:17">
      <c r="B249" s="12">
        <v>18</v>
      </c>
      <c r="C249" s="13">
        <f t="shared" si="120"/>
        <v>2</v>
      </c>
      <c r="D249" s="1"/>
      <c r="E249" s="12">
        <v>9</v>
      </c>
      <c r="F249" s="13">
        <f t="shared" si="121"/>
        <v>11</v>
      </c>
      <c r="G249" s="2"/>
      <c r="H249" s="6">
        <f t="shared" si="122"/>
        <v>0.9</v>
      </c>
      <c r="I249" s="32">
        <f t="shared" si="123"/>
        <v>0.7377076948078376</v>
      </c>
      <c r="J249" s="7">
        <f t="shared" si="124"/>
        <v>0.96644457716927756</v>
      </c>
      <c r="K249" s="6">
        <f t="shared" si="125"/>
        <v>0.45</v>
      </c>
      <c r="L249" s="32">
        <f t="shared" si="126"/>
        <v>0.28368506621578338</v>
      </c>
      <c r="M249" s="7">
        <f t="shared" si="127"/>
        <v>0.62830085082679554</v>
      </c>
      <c r="N249" s="6">
        <f t="shared" si="128"/>
        <v>0.45</v>
      </c>
      <c r="O249" s="32">
        <f t="shared" si="129"/>
        <v>0.20889839127424889</v>
      </c>
      <c r="P249" s="7">
        <f t="shared" si="130"/>
        <v>0.6290964517651102</v>
      </c>
      <c r="Q249" s="7" t="str">
        <f t="shared" si="131"/>
        <v>FAIL</v>
      </c>
    </row>
    <row r="250" spans="2:17">
      <c r="B250" s="12">
        <v>19</v>
      </c>
      <c r="C250" s="13">
        <f t="shared" si="120"/>
        <v>1</v>
      </c>
      <c r="D250" s="1"/>
      <c r="E250" s="12">
        <v>9</v>
      </c>
      <c r="F250" s="13">
        <f t="shared" si="121"/>
        <v>11</v>
      </c>
      <c r="G250" s="2"/>
      <c r="H250" s="6">
        <f t="shared" si="122"/>
        <v>0.95</v>
      </c>
      <c r="I250" s="32">
        <f t="shared" si="123"/>
        <v>0.80335937249454403</v>
      </c>
      <c r="J250" s="7">
        <f t="shared" si="124"/>
        <v>0.98881138336418628</v>
      </c>
      <c r="K250" s="6">
        <f t="shared" si="125"/>
        <v>0.45</v>
      </c>
      <c r="L250" s="32">
        <f t="shared" si="126"/>
        <v>0.28368506621578338</v>
      </c>
      <c r="M250" s="7">
        <f t="shared" si="127"/>
        <v>0.62830085082679554</v>
      </c>
      <c r="N250" s="6">
        <f t="shared" si="128"/>
        <v>0.49999999999999994</v>
      </c>
      <c r="O250" s="32">
        <f t="shared" si="129"/>
        <v>0.26914362248195722</v>
      </c>
      <c r="P250" s="7">
        <f t="shared" si="130"/>
        <v>0.6707834320954178</v>
      </c>
      <c r="Q250" s="7" t="str">
        <f t="shared" si="131"/>
        <v>FAIL</v>
      </c>
    </row>
    <row r="251" spans="2:17" ht="15" thickBot="1">
      <c r="B251" s="15">
        <v>20</v>
      </c>
      <c r="C251" s="14">
        <f t="shared" si="120"/>
        <v>0</v>
      </c>
      <c r="D251" s="1"/>
      <c r="E251" s="15">
        <v>9</v>
      </c>
      <c r="F251" s="14">
        <f t="shared" si="121"/>
        <v>11</v>
      </c>
      <c r="G251" s="2"/>
      <c r="H251" s="8">
        <f t="shared" si="122"/>
        <v>1</v>
      </c>
      <c r="I251" s="16">
        <f t="shared" si="123"/>
        <v>0.88018813951940023</v>
      </c>
      <c r="J251" s="9">
        <f t="shared" si="124"/>
        <v>1.0000011002209452</v>
      </c>
      <c r="K251" s="8">
        <f t="shared" si="125"/>
        <v>0.45</v>
      </c>
      <c r="L251" s="16">
        <f t="shared" si="126"/>
        <v>0.28368506621578338</v>
      </c>
      <c r="M251" s="9">
        <f t="shared" si="127"/>
        <v>0.62830085082679554</v>
      </c>
      <c r="N251" s="8">
        <f t="shared" si="128"/>
        <v>0.55000000000000004</v>
      </c>
      <c r="O251" s="16">
        <f t="shared" si="129"/>
        <v>0.33518362418711678</v>
      </c>
      <c r="P251" s="9">
        <f t="shared" si="130"/>
        <v>0.71631493378785582</v>
      </c>
      <c r="Q251" s="9" t="str">
        <f t="shared" si="131"/>
        <v>FAIL</v>
      </c>
    </row>
    <row r="252" spans="2:17" ht="15" thickBot="1"/>
    <row r="253" spans="2:17">
      <c r="B253" s="3">
        <v>0</v>
      </c>
      <c r="C253" s="11">
        <f>20-B253</f>
        <v>20</v>
      </c>
      <c r="D253" s="1"/>
      <c r="E253" s="3">
        <v>10</v>
      </c>
      <c r="F253" s="11">
        <f>20-E253</f>
        <v>10</v>
      </c>
      <c r="G253" s="2"/>
      <c r="H253" s="5">
        <f>B253/SUM(B253:C253)</f>
        <v>0</v>
      </c>
      <c r="I253" s="41">
        <f>((B253+1.3613)-(1.65*SQRT(B253-(B253^2/SUM(B253:C253))+0.6806)))/(SUM(B253:C253)+2.7225)</f>
        <v>3.3007032488877747E-6</v>
      </c>
      <c r="J253" s="4">
        <f>((B253+1.3613)+(1.65*SQRT(B253-(B253^2/SUM(B253:C253))+0.6806)))/(SUM(B253:C253)+2.7225)</f>
        <v>0.1198162614047938</v>
      </c>
      <c r="K253" s="5">
        <f>E253/SUM(E253:F253)</f>
        <v>0.5</v>
      </c>
      <c r="L253" s="41">
        <f>((E253+1.3613)-(1.65*SQRT(E253-(E253^2/SUM(E253:F253))+0.6806)))/(SUM(E253:F253)+2.7225)</f>
        <v>0.32693094787634341</v>
      </c>
      <c r="M253" s="4">
        <f>((E253+1.3613)+(1.65*SQRT(E253-(E253^2/SUM(E253:F253))+0.6806)))/(SUM(E253:F253)+2.7225)</f>
        <v>0.6730734530478506</v>
      </c>
      <c r="N253" s="5">
        <f>H253-K253</f>
        <v>-0.5</v>
      </c>
      <c r="O253" s="41">
        <f>N253-SQRT((H253-I253)^2+(K253-M253)^2)</f>
        <v>-0.67307345307932465</v>
      </c>
      <c r="P253" s="4">
        <f>N253+SQRT((H253-J253)^2+(K253-L253)^2)</f>
        <v>-0.28950336511002639</v>
      </c>
      <c r="Q253" s="4" t="str">
        <f>IF(O253*P253&lt;0,"PASS","FAIL")</f>
        <v>FAIL</v>
      </c>
    </row>
    <row r="254" spans="2:17">
      <c r="B254" s="12">
        <v>1</v>
      </c>
      <c r="C254" s="13">
        <f t="shared" ref="C254:C273" si="132">20-B254</f>
        <v>19</v>
      </c>
      <c r="D254" s="1"/>
      <c r="E254" s="12">
        <v>10</v>
      </c>
      <c r="F254" s="13">
        <f t="shared" ref="F254:F273" si="133">20-E254</f>
        <v>10</v>
      </c>
      <c r="G254" s="2"/>
      <c r="H254" s="6">
        <f t="shared" ref="H254:H273" si="134">B254/SUM(B254:C254)</f>
        <v>0.05</v>
      </c>
      <c r="I254" s="32">
        <f t="shared" ref="I254:I273" si="135">((B254+1.3613)-(1.65*SQRT(B254-(B254^2/SUM(B254:C254))+0.6806)))/(SUM(B254:C254)+2.7225)</f>
        <v>1.1193017560007713E-2</v>
      </c>
      <c r="J254" s="7">
        <f t="shared" ref="J254:J273" si="136">((B254+1.3613)+(1.65*SQRT(B254-(B254^2/SUM(B254:C254))+0.6806)))/(SUM(B254:C254)+2.7225)</f>
        <v>0.19664502842965012</v>
      </c>
      <c r="K254" s="6">
        <f t="shared" ref="K254:K273" si="137">E254/SUM(E254:F254)</f>
        <v>0.5</v>
      </c>
      <c r="L254" s="32">
        <f t="shared" ref="L254:L273" si="138">((E254+1.3613)-(1.65*SQRT(E254-(E254^2/SUM(E254:F254))+0.6806)))/(SUM(E254:F254)+2.7225)</f>
        <v>0.32693094787634341</v>
      </c>
      <c r="M254" s="7">
        <f t="shared" ref="M254:M273" si="139">((E254+1.3613)+(1.65*SQRT(E254-(E254^2/SUM(E254:F254))+0.6806)))/(SUM(E254:F254)+2.7225)</f>
        <v>0.6730734530478506</v>
      </c>
      <c r="N254" s="6">
        <f t="shared" ref="N254:N273" si="140">H254-K254</f>
        <v>-0.45</v>
      </c>
      <c r="O254" s="32">
        <f t="shared" ref="O254:O273" si="141">N254-SQRT((H254-I254)^2+(K254-M254)^2)</f>
        <v>-0.62737080378688148</v>
      </c>
      <c r="P254" s="7">
        <f t="shared" ref="P254:P273" si="142">N254+SQRT((H254-J254)^2+(K254-L254)^2)</f>
        <v>-0.2231571884186897</v>
      </c>
      <c r="Q254" s="7" t="str">
        <f t="shared" ref="Q254:Q273" si="143">IF(O254*P254&lt;0,"PASS","FAIL")</f>
        <v>FAIL</v>
      </c>
    </row>
    <row r="255" spans="2:17">
      <c r="B255" s="12">
        <v>2</v>
      </c>
      <c r="C255" s="13">
        <f t="shared" si="132"/>
        <v>18</v>
      </c>
      <c r="D255" s="1"/>
      <c r="E255" s="12">
        <v>10</v>
      </c>
      <c r="F255" s="13">
        <f t="shared" si="133"/>
        <v>10</v>
      </c>
      <c r="G255" s="2"/>
      <c r="H255" s="6">
        <f t="shared" si="134"/>
        <v>0.1</v>
      </c>
      <c r="I255" s="32">
        <f t="shared" si="135"/>
        <v>3.3559823754916465E-2</v>
      </c>
      <c r="J255" s="7">
        <f t="shared" si="136"/>
        <v>0.26229670611635653</v>
      </c>
      <c r="K255" s="6">
        <f t="shared" si="137"/>
        <v>0.5</v>
      </c>
      <c r="L255" s="32">
        <f t="shared" si="138"/>
        <v>0.32693094787634341</v>
      </c>
      <c r="M255" s="7">
        <f t="shared" si="139"/>
        <v>0.6730734530478506</v>
      </c>
      <c r="N255" s="6">
        <f t="shared" si="140"/>
        <v>-0.4</v>
      </c>
      <c r="O255" s="32">
        <f t="shared" si="141"/>
        <v>-0.58538801786896677</v>
      </c>
      <c r="P255" s="7">
        <f t="shared" si="142"/>
        <v>-0.16273829297756465</v>
      </c>
      <c r="Q255" s="7" t="str">
        <f t="shared" si="143"/>
        <v>FAIL</v>
      </c>
    </row>
    <row r="256" spans="2:17">
      <c r="B256" s="12">
        <v>3</v>
      </c>
      <c r="C256" s="13">
        <f t="shared" si="132"/>
        <v>17</v>
      </c>
      <c r="D256" s="1"/>
      <c r="E256" s="12">
        <v>10</v>
      </c>
      <c r="F256" s="13">
        <f t="shared" si="133"/>
        <v>10</v>
      </c>
      <c r="G256" s="2"/>
      <c r="H256" s="6">
        <f t="shared" si="134"/>
        <v>0.15</v>
      </c>
      <c r="I256" s="32">
        <f t="shared" si="135"/>
        <v>6.1419802519351356E-2</v>
      </c>
      <c r="J256" s="7">
        <f t="shared" si="136"/>
        <v>0.32245521123353676</v>
      </c>
      <c r="K256" s="6">
        <f t="shared" si="137"/>
        <v>0.5</v>
      </c>
      <c r="L256" s="32">
        <f t="shared" si="138"/>
        <v>0.32693094787634341</v>
      </c>
      <c r="M256" s="7">
        <f t="shared" si="139"/>
        <v>0.6730734530478506</v>
      </c>
      <c r="N256" s="6">
        <f t="shared" si="140"/>
        <v>-0.35</v>
      </c>
      <c r="O256" s="32">
        <f t="shared" si="141"/>
        <v>-0.54442446228707242</v>
      </c>
      <c r="P256" s="7">
        <f t="shared" si="142"/>
        <v>-0.10567706475939523</v>
      </c>
      <c r="Q256" s="7" t="str">
        <f t="shared" si="143"/>
        <v>FAIL</v>
      </c>
    </row>
    <row r="257" spans="2:17">
      <c r="B257" s="12">
        <v>4</v>
      </c>
      <c r="C257" s="13">
        <f t="shared" si="132"/>
        <v>16</v>
      </c>
      <c r="D257" s="1"/>
      <c r="E257" s="12">
        <v>10</v>
      </c>
      <c r="F257" s="13">
        <f t="shared" si="133"/>
        <v>10</v>
      </c>
      <c r="G257" s="2"/>
      <c r="H257" s="6">
        <f t="shared" si="134"/>
        <v>0.2</v>
      </c>
      <c r="I257" s="32">
        <f t="shared" si="135"/>
        <v>9.2900237075401015E-2</v>
      </c>
      <c r="J257" s="7">
        <f t="shared" si="136"/>
        <v>0.37899326055910226</v>
      </c>
      <c r="K257" s="6">
        <f t="shared" si="137"/>
        <v>0.5</v>
      </c>
      <c r="L257" s="32">
        <f t="shared" si="138"/>
        <v>0.32693094787634341</v>
      </c>
      <c r="M257" s="7">
        <f t="shared" si="139"/>
        <v>0.6730734530478506</v>
      </c>
      <c r="N257" s="6">
        <f t="shared" si="140"/>
        <v>-0.3</v>
      </c>
      <c r="O257" s="32">
        <f t="shared" si="141"/>
        <v>-0.50353078236083082</v>
      </c>
      <c r="P257" s="7">
        <f t="shared" si="142"/>
        <v>-5.1019108908816779E-2</v>
      </c>
      <c r="Q257" s="7" t="str">
        <f t="shared" si="143"/>
        <v>FAIL</v>
      </c>
    </row>
    <row r="258" spans="2:17">
      <c r="B258" s="12">
        <v>5</v>
      </c>
      <c r="C258" s="13">
        <f t="shared" si="132"/>
        <v>15</v>
      </c>
      <c r="D258" s="1"/>
      <c r="E258" s="12">
        <v>10</v>
      </c>
      <c r="F258" s="13">
        <f t="shared" si="133"/>
        <v>10</v>
      </c>
      <c r="G258" s="2"/>
      <c r="H258" s="6">
        <f t="shared" si="134"/>
        <v>0.25</v>
      </c>
      <c r="I258" s="32">
        <f t="shared" si="135"/>
        <v>0.12710822188096477</v>
      </c>
      <c r="J258" s="7">
        <f t="shared" si="136"/>
        <v>0.43280375963515361</v>
      </c>
      <c r="K258" s="6">
        <f t="shared" si="137"/>
        <v>0.5</v>
      </c>
      <c r="L258" s="32">
        <f t="shared" si="138"/>
        <v>0.32693094787634341</v>
      </c>
      <c r="M258" s="7">
        <f t="shared" si="139"/>
        <v>0.6730734530478506</v>
      </c>
      <c r="N258" s="6">
        <f t="shared" si="140"/>
        <v>-0.25</v>
      </c>
      <c r="O258" s="32">
        <f t="shared" si="141"/>
        <v>-0.46226589287769415</v>
      </c>
      <c r="P258" s="7">
        <f t="shared" si="142"/>
        <v>1.7342077265781186E-3</v>
      </c>
      <c r="Q258" s="7" t="str">
        <f t="shared" si="143"/>
        <v>PASS</v>
      </c>
    </row>
    <row r="259" spans="2:17">
      <c r="B259" s="12">
        <v>6</v>
      </c>
      <c r="C259" s="13">
        <f t="shared" si="132"/>
        <v>14</v>
      </c>
      <c r="D259" s="1"/>
      <c r="E259" s="12">
        <v>10</v>
      </c>
      <c r="F259" s="13">
        <f t="shared" si="133"/>
        <v>10</v>
      </c>
      <c r="G259" s="2"/>
      <c r="H259" s="6">
        <f t="shared" si="134"/>
        <v>0.3</v>
      </c>
      <c r="I259" s="32">
        <f t="shared" si="135"/>
        <v>0.16354304302976813</v>
      </c>
      <c r="J259" s="7">
        <f t="shared" si="136"/>
        <v>0.48438742236796539</v>
      </c>
      <c r="K259" s="6">
        <f t="shared" si="137"/>
        <v>0.5</v>
      </c>
      <c r="L259" s="32">
        <f t="shared" si="138"/>
        <v>0.32693094787634341</v>
      </c>
      <c r="M259" s="7">
        <f t="shared" si="139"/>
        <v>0.6730734530478506</v>
      </c>
      <c r="N259" s="6">
        <f t="shared" si="140"/>
        <v>-0.2</v>
      </c>
      <c r="O259" s="32">
        <f t="shared" si="141"/>
        <v>-0.42039718976312346</v>
      </c>
      <c r="P259" s="7">
        <f t="shared" si="142"/>
        <v>5.2886572064400894E-2</v>
      </c>
      <c r="Q259" s="7" t="str">
        <f t="shared" si="143"/>
        <v>PASS</v>
      </c>
    </row>
    <row r="260" spans="2:17">
      <c r="B260" s="12">
        <v>7</v>
      </c>
      <c r="C260" s="13">
        <f t="shared" si="132"/>
        <v>13</v>
      </c>
      <c r="D260" s="1"/>
      <c r="E260" s="12">
        <v>10</v>
      </c>
      <c r="F260" s="13">
        <f t="shared" si="133"/>
        <v>10</v>
      </c>
      <c r="G260" s="2"/>
      <c r="H260" s="6">
        <f t="shared" si="134"/>
        <v>0.35</v>
      </c>
      <c r="I260" s="32">
        <f t="shared" si="135"/>
        <v>0.20189973247796225</v>
      </c>
      <c r="J260" s="7">
        <f t="shared" si="136"/>
        <v>0.53404921680138639</v>
      </c>
      <c r="K260" s="6">
        <f t="shared" si="137"/>
        <v>0.5</v>
      </c>
      <c r="L260" s="32">
        <f t="shared" si="138"/>
        <v>0.32693094787634341</v>
      </c>
      <c r="M260" s="7">
        <f t="shared" si="139"/>
        <v>0.6730734530478506</v>
      </c>
      <c r="N260" s="6">
        <f t="shared" si="140"/>
        <v>-0.15000000000000002</v>
      </c>
      <c r="O260" s="32">
        <f t="shared" si="141"/>
        <v>-0.37778961651051107</v>
      </c>
      <c r="P260" s="7">
        <f t="shared" si="142"/>
        <v>0.10264008195095387</v>
      </c>
      <c r="Q260" s="7" t="str">
        <f t="shared" si="143"/>
        <v>PASS</v>
      </c>
    </row>
    <row r="261" spans="2:17">
      <c r="B261" s="12">
        <v>8</v>
      </c>
      <c r="C261" s="13">
        <f t="shared" si="132"/>
        <v>12</v>
      </c>
      <c r="D261" s="1"/>
      <c r="E261" s="12">
        <v>10</v>
      </c>
      <c r="F261" s="13">
        <f t="shared" si="133"/>
        <v>10</v>
      </c>
      <c r="G261" s="2"/>
      <c r="H261" s="6">
        <f t="shared" si="134"/>
        <v>0.4</v>
      </c>
      <c r="I261" s="32">
        <f t="shared" si="135"/>
        <v>0.24198647075497337</v>
      </c>
      <c r="J261" s="7">
        <f t="shared" si="136"/>
        <v>0.5819809624059904</v>
      </c>
      <c r="K261" s="6">
        <f t="shared" si="137"/>
        <v>0.5</v>
      </c>
      <c r="L261" s="32">
        <f t="shared" si="138"/>
        <v>0.32693094787634341</v>
      </c>
      <c r="M261" s="7">
        <f t="shared" si="139"/>
        <v>0.6730734530478506</v>
      </c>
      <c r="N261" s="6">
        <f t="shared" si="140"/>
        <v>-9.9999999999999978E-2</v>
      </c>
      <c r="O261" s="32">
        <f t="shared" si="141"/>
        <v>-0.33435591644841278</v>
      </c>
      <c r="P261" s="7">
        <f t="shared" si="142"/>
        <v>0.15113734784215477</v>
      </c>
      <c r="Q261" s="7" t="str">
        <f t="shared" si="143"/>
        <v>PASS</v>
      </c>
    </row>
    <row r="262" spans="2:17">
      <c r="B262" s="12">
        <v>9</v>
      </c>
      <c r="C262" s="13">
        <f t="shared" si="132"/>
        <v>11</v>
      </c>
      <c r="D262" s="1"/>
      <c r="E262" s="12">
        <v>10</v>
      </c>
      <c r="F262" s="13">
        <f t="shared" si="133"/>
        <v>10</v>
      </c>
      <c r="G262" s="2"/>
      <c r="H262" s="6">
        <f t="shared" si="134"/>
        <v>0.45</v>
      </c>
      <c r="I262" s="32">
        <f t="shared" si="135"/>
        <v>0.28368506621578338</v>
      </c>
      <c r="J262" s="7">
        <f t="shared" si="136"/>
        <v>0.62830085082679554</v>
      </c>
      <c r="K262" s="6">
        <f t="shared" si="137"/>
        <v>0.5</v>
      </c>
      <c r="L262" s="32">
        <f t="shared" si="138"/>
        <v>0.32693094787634341</v>
      </c>
      <c r="M262" s="7">
        <f t="shared" si="139"/>
        <v>0.6730734530478506</v>
      </c>
      <c r="N262" s="6">
        <f t="shared" si="140"/>
        <v>-4.9999999999999989E-2</v>
      </c>
      <c r="O262" s="32">
        <f t="shared" si="141"/>
        <v>-0.29003140908963332</v>
      </c>
      <c r="P262" s="7">
        <f t="shared" si="142"/>
        <v>0.19848358136613403</v>
      </c>
      <c r="Q262" s="7" t="str">
        <f t="shared" si="143"/>
        <v>PASS</v>
      </c>
    </row>
    <row r="263" spans="2:17">
      <c r="B263" s="12">
        <v>10</v>
      </c>
      <c r="C263" s="13">
        <f t="shared" si="132"/>
        <v>10</v>
      </c>
      <c r="D263" s="1"/>
      <c r="E263" s="12">
        <v>10</v>
      </c>
      <c r="F263" s="13">
        <f t="shared" si="133"/>
        <v>10</v>
      </c>
      <c r="G263" s="2"/>
      <c r="H263" s="6">
        <f t="shared" si="134"/>
        <v>0.5</v>
      </c>
      <c r="I263" s="32">
        <f t="shared" si="135"/>
        <v>0.32693094787634341</v>
      </c>
      <c r="J263" s="7">
        <f t="shared" si="136"/>
        <v>0.6730734530478506</v>
      </c>
      <c r="K263" s="6">
        <f t="shared" si="137"/>
        <v>0.5</v>
      </c>
      <c r="L263" s="32">
        <f t="shared" si="138"/>
        <v>0.32693094787634341</v>
      </c>
      <c r="M263" s="7">
        <f t="shared" si="139"/>
        <v>0.6730734530478506</v>
      </c>
      <c r="N263" s="6">
        <f t="shared" si="140"/>
        <v>0</v>
      </c>
      <c r="O263" s="32">
        <f t="shared" si="141"/>
        <v>-0.24475971268345514</v>
      </c>
      <c r="P263" s="7">
        <f t="shared" si="142"/>
        <v>0.24475971268345514</v>
      </c>
      <c r="Q263" s="7" t="str">
        <f t="shared" si="143"/>
        <v>PASS</v>
      </c>
    </row>
    <row r="264" spans="2:17">
      <c r="B264" s="12">
        <v>11</v>
      </c>
      <c r="C264" s="13">
        <f t="shared" si="132"/>
        <v>9</v>
      </c>
      <c r="D264" s="1"/>
      <c r="E264" s="12">
        <v>10</v>
      </c>
      <c r="F264" s="13">
        <f t="shared" si="133"/>
        <v>10</v>
      </c>
      <c r="G264" s="2"/>
      <c r="H264" s="6">
        <f t="shared" si="134"/>
        <v>0.55000000000000004</v>
      </c>
      <c r="I264" s="32">
        <f t="shared" si="135"/>
        <v>0.37170355009739847</v>
      </c>
      <c r="J264" s="7">
        <f t="shared" si="136"/>
        <v>0.71631933470841069</v>
      </c>
      <c r="K264" s="6">
        <f t="shared" si="137"/>
        <v>0.5</v>
      </c>
      <c r="L264" s="32">
        <f t="shared" si="138"/>
        <v>0.32693094787634341</v>
      </c>
      <c r="M264" s="7">
        <f t="shared" si="139"/>
        <v>0.6730734530478506</v>
      </c>
      <c r="N264" s="6">
        <f t="shared" si="140"/>
        <v>5.0000000000000044E-2</v>
      </c>
      <c r="O264" s="32">
        <f t="shared" si="141"/>
        <v>-0.19848348878301236</v>
      </c>
      <c r="P264" s="7">
        <f t="shared" si="142"/>
        <v>0.29003128525429622</v>
      </c>
      <c r="Q264" s="7" t="str">
        <f t="shared" si="143"/>
        <v>PASS</v>
      </c>
    </row>
    <row r="265" spans="2:17">
      <c r="B265" s="12">
        <v>12</v>
      </c>
      <c r="C265" s="13">
        <f t="shared" si="132"/>
        <v>8</v>
      </c>
      <c r="D265" s="1"/>
      <c r="E265" s="12">
        <v>10</v>
      </c>
      <c r="F265" s="13">
        <f t="shared" si="133"/>
        <v>10</v>
      </c>
      <c r="G265" s="2"/>
      <c r="H265" s="6">
        <f t="shared" si="134"/>
        <v>0.6</v>
      </c>
      <c r="I265" s="32">
        <f t="shared" si="135"/>
        <v>0.41802343851820367</v>
      </c>
      <c r="J265" s="7">
        <f t="shared" si="136"/>
        <v>0.75801793016922059</v>
      </c>
      <c r="K265" s="6">
        <f t="shared" si="137"/>
        <v>0.5</v>
      </c>
      <c r="L265" s="32">
        <f t="shared" si="138"/>
        <v>0.32693094787634341</v>
      </c>
      <c r="M265" s="7">
        <f t="shared" si="139"/>
        <v>0.6730734530478506</v>
      </c>
      <c r="N265" s="6">
        <f t="shared" si="140"/>
        <v>9.9999999999999978E-2</v>
      </c>
      <c r="O265" s="32">
        <f t="shared" si="141"/>
        <v>-0.15113719174714951</v>
      </c>
      <c r="P265" s="7">
        <f t="shared" si="142"/>
        <v>0.33435563372350496</v>
      </c>
      <c r="Q265" s="7" t="str">
        <f t="shared" si="143"/>
        <v>PASS</v>
      </c>
    </row>
    <row r="266" spans="2:17">
      <c r="B266" s="12">
        <v>13</v>
      </c>
      <c r="C266" s="13">
        <f t="shared" si="132"/>
        <v>7</v>
      </c>
      <c r="D266" s="1"/>
      <c r="E266" s="12">
        <v>10</v>
      </c>
      <c r="F266" s="13">
        <f t="shared" si="133"/>
        <v>10</v>
      </c>
      <c r="G266" s="2"/>
      <c r="H266" s="6">
        <f t="shared" si="134"/>
        <v>0.65</v>
      </c>
      <c r="I266" s="32">
        <f t="shared" si="135"/>
        <v>0.46595518412280768</v>
      </c>
      <c r="J266" s="7">
        <f t="shared" si="136"/>
        <v>0.79810466844623185</v>
      </c>
      <c r="K266" s="6">
        <f t="shared" si="137"/>
        <v>0.5</v>
      </c>
      <c r="L266" s="32">
        <f t="shared" si="138"/>
        <v>0.32693094787634341</v>
      </c>
      <c r="M266" s="7">
        <f t="shared" si="139"/>
        <v>0.6730734530478506</v>
      </c>
      <c r="N266" s="6">
        <f t="shared" si="140"/>
        <v>0.15000000000000002</v>
      </c>
      <c r="O266" s="32">
        <f t="shared" si="141"/>
        <v>-0.10263989075594571</v>
      </c>
      <c r="P266" s="7">
        <f t="shared" si="142"/>
        <v>0.37778913410992465</v>
      </c>
      <c r="Q266" s="7" t="str">
        <f t="shared" si="143"/>
        <v>PASS</v>
      </c>
    </row>
    <row r="267" spans="2:17">
      <c r="B267" s="12">
        <v>14</v>
      </c>
      <c r="C267" s="13">
        <f t="shared" si="132"/>
        <v>6</v>
      </c>
      <c r="D267" s="1"/>
      <c r="E267" s="12">
        <v>10</v>
      </c>
      <c r="F267" s="13">
        <f t="shared" si="133"/>
        <v>10</v>
      </c>
      <c r="G267" s="2"/>
      <c r="H267" s="6">
        <f t="shared" si="134"/>
        <v>0.7</v>
      </c>
      <c r="I267" s="32">
        <f t="shared" si="135"/>
        <v>0.51561697855622868</v>
      </c>
      <c r="J267" s="7">
        <f t="shared" si="136"/>
        <v>0.83646135789442599</v>
      </c>
      <c r="K267" s="6">
        <f t="shared" si="137"/>
        <v>0.5</v>
      </c>
      <c r="L267" s="32">
        <f t="shared" si="138"/>
        <v>0.32693094787634341</v>
      </c>
      <c r="M267" s="7">
        <f t="shared" si="139"/>
        <v>0.6730734530478506</v>
      </c>
      <c r="N267" s="6">
        <f t="shared" si="140"/>
        <v>0.19999999999999996</v>
      </c>
      <c r="O267" s="32">
        <f t="shared" si="141"/>
        <v>-5.2886375170037137E-2</v>
      </c>
      <c r="P267" s="7">
        <f t="shared" si="142"/>
        <v>0.42039645868609499</v>
      </c>
      <c r="Q267" s="7" t="str">
        <f t="shared" si="143"/>
        <v>PASS</v>
      </c>
    </row>
    <row r="268" spans="2:17">
      <c r="B268" s="12">
        <v>15</v>
      </c>
      <c r="C268" s="13">
        <f t="shared" si="132"/>
        <v>5</v>
      </c>
      <c r="D268" s="1"/>
      <c r="E268" s="12">
        <v>10</v>
      </c>
      <c r="F268" s="13">
        <f t="shared" si="133"/>
        <v>10</v>
      </c>
      <c r="G268" s="2"/>
      <c r="H268" s="6">
        <f t="shared" si="134"/>
        <v>0.75</v>
      </c>
      <c r="I268" s="32">
        <f t="shared" si="135"/>
        <v>0.56720064128904046</v>
      </c>
      <c r="J268" s="7">
        <f t="shared" si="136"/>
        <v>0.87289617904322925</v>
      </c>
      <c r="K268" s="6">
        <f t="shared" si="137"/>
        <v>0.5</v>
      </c>
      <c r="L268" s="32">
        <f t="shared" si="138"/>
        <v>0.32693094787634341</v>
      </c>
      <c r="M268" s="7">
        <f t="shared" si="139"/>
        <v>0.6730734530478506</v>
      </c>
      <c r="N268" s="6">
        <f t="shared" si="140"/>
        <v>0.25</v>
      </c>
      <c r="O268" s="32">
        <f t="shared" si="141"/>
        <v>-1.7340376171736671E-3</v>
      </c>
      <c r="P268" s="7">
        <f t="shared" si="142"/>
        <v>0.46226485254607375</v>
      </c>
      <c r="Q268" s="7" t="str">
        <f t="shared" si="143"/>
        <v>PASS</v>
      </c>
    </row>
    <row r="269" spans="2:17">
      <c r="B269" s="12">
        <v>16</v>
      </c>
      <c r="C269" s="13">
        <f t="shared" si="132"/>
        <v>4</v>
      </c>
      <c r="D269" s="1"/>
      <c r="E269" s="12">
        <v>10</v>
      </c>
      <c r="F269" s="13">
        <f t="shared" si="133"/>
        <v>10</v>
      </c>
      <c r="G269" s="2"/>
      <c r="H269" s="6">
        <f t="shared" si="134"/>
        <v>0.8</v>
      </c>
      <c r="I269" s="32">
        <f t="shared" si="135"/>
        <v>0.62101114036509186</v>
      </c>
      <c r="J269" s="7">
        <f t="shared" si="136"/>
        <v>0.907104163848793</v>
      </c>
      <c r="K269" s="6">
        <f t="shared" si="137"/>
        <v>0.5</v>
      </c>
      <c r="L269" s="32">
        <f t="shared" si="138"/>
        <v>0.32693094787634341</v>
      </c>
      <c r="M269" s="7">
        <f t="shared" si="139"/>
        <v>0.6730734530478506</v>
      </c>
      <c r="N269" s="6">
        <f t="shared" si="140"/>
        <v>0.30000000000000004</v>
      </c>
      <c r="O269" s="32">
        <f t="shared" si="141"/>
        <v>5.1019213545881431E-2</v>
      </c>
      <c r="P269" s="7">
        <f t="shared" si="142"/>
        <v>0.50352935590899428</v>
      </c>
      <c r="Q269" s="7" t="str">
        <f t="shared" si="143"/>
        <v>FAIL</v>
      </c>
    </row>
    <row r="270" spans="2:17">
      <c r="B270" s="12">
        <v>17</v>
      </c>
      <c r="C270" s="13">
        <f t="shared" si="132"/>
        <v>3</v>
      </c>
      <c r="D270" s="1"/>
      <c r="E270" s="12">
        <v>10</v>
      </c>
      <c r="F270" s="13">
        <f t="shared" si="133"/>
        <v>10</v>
      </c>
      <c r="G270" s="2"/>
      <c r="H270" s="6">
        <f t="shared" si="134"/>
        <v>0.85</v>
      </c>
      <c r="I270" s="32">
        <f t="shared" si="135"/>
        <v>0.67754918969065736</v>
      </c>
      <c r="J270" s="7">
        <f t="shared" si="136"/>
        <v>0.93858459840484276</v>
      </c>
      <c r="K270" s="6">
        <f t="shared" si="137"/>
        <v>0.5</v>
      </c>
      <c r="L270" s="32">
        <f t="shared" si="138"/>
        <v>0.32693094787634341</v>
      </c>
      <c r="M270" s="7">
        <f t="shared" si="139"/>
        <v>0.6730734530478506</v>
      </c>
      <c r="N270" s="6">
        <f t="shared" si="140"/>
        <v>0.35</v>
      </c>
      <c r="O270" s="32">
        <f t="shared" si="141"/>
        <v>0.10567705362316984</v>
      </c>
      <c r="P270" s="7">
        <f t="shared" si="142"/>
        <v>0.54442254981747418</v>
      </c>
      <c r="Q270" s="7" t="str">
        <f t="shared" si="143"/>
        <v>FAIL</v>
      </c>
    </row>
    <row r="271" spans="2:17">
      <c r="B271" s="12">
        <v>18</v>
      </c>
      <c r="C271" s="13">
        <f t="shared" si="132"/>
        <v>2</v>
      </c>
      <c r="D271" s="1"/>
      <c r="E271" s="12">
        <v>10</v>
      </c>
      <c r="F271" s="13">
        <f t="shared" si="133"/>
        <v>10</v>
      </c>
      <c r="G271" s="2"/>
      <c r="H271" s="6">
        <f t="shared" si="134"/>
        <v>0.9</v>
      </c>
      <c r="I271" s="32">
        <f t="shared" si="135"/>
        <v>0.7377076948078376</v>
      </c>
      <c r="J271" s="7">
        <f t="shared" si="136"/>
        <v>0.96644457716927756</v>
      </c>
      <c r="K271" s="6">
        <f t="shared" si="137"/>
        <v>0.5</v>
      </c>
      <c r="L271" s="32">
        <f t="shared" si="138"/>
        <v>0.32693094787634341</v>
      </c>
      <c r="M271" s="7">
        <f t="shared" si="139"/>
        <v>0.6730734530478506</v>
      </c>
      <c r="N271" s="6">
        <f t="shared" si="140"/>
        <v>0.4</v>
      </c>
      <c r="O271" s="32">
        <f t="shared" si="141"/>
        <v>0.16273809308173273</v>
      </c>
      <c r="P271" s="7">
        <f t="shared" si="142"/>
        <v>0.58538548658992984</v>
      </c>
      <c r="Q271" s="7" t="str">
        <f t="shared" si="143"/>
        <v>FAIL</v>
      </c>
    </row>
    <row r="272" spans="2:17">
      <c r="B272" s="12">
        <v>19</v>
      </c>
      <c r="C272" s="13">
        <f t="shared" si="132"/>
        <v>1</v>
      </c>
      <c r="D272" s="1"/>
      <c r="E272" s="12">
        <v>10</v>
      </c>
      <c r="F272" s="13">
        <f t="shared" si="133"/>
        <v>10</v>
      </c>
      <c r="G272" s="2"/>
      <c r="H272" s="6">
        <f t="shared" si="134"/>
        <v>0.95</v>
      </c>
      <c r="I272" s="32">
        <f t="shared" si="135"/>
        <v>0.80335937249454403</v>
      </c>
      <c r="J272" s="7">
        <f t="shared" si="136"/>
        <v>0.98881138336418628</v>
      </c>
      <c r="K272" s="6">
        <f t="shared" si="137"/>
        <v>0.5</v>
      </c>
      <c r="L272" s="32">
        <f t="shared" si="138"/>
        <v>0.32693094787634341</v>
      </c>
      <c r="M272" s="7">
        <f t="shared" si="139"/>
        <v>0.6730734530478506</v>
      </c>
      <c r="N272" s="6">
        <f t="shared" si="140"/>
        <v>0.44999999999999996</v>
      </c>
      <c r="O272" s="32">
        <f t="shared" si="141"/>
        <v>0.22315667568760053</v>
      </c>
      <c r="P272" s="7">
        <f t="shared" si="142"/>
        <v>0.62736747244526769</v>
      </c>
      <c r="Q272" s="7" t="str">
        <f t="shared" si="143"/>
        <v>FAIL</v>
      </c>
    </row>
    <row r="273" spans="2:17" ht="15" thickBot="1">
      <c r="B273" s="15">
        <v>20</v>
      </c>
      <c r="C273" s="14">
        <f t="shared" si="132"/>
        <v>0</v>
      </c>
      <c r="D273" s="1"/>
      <c r="E273" s="15">
        <v>10</v>
      </c>
      <c r="F273" s="14">
        <f t="shared" si="133"/>
        <v>10</v>
      </c>
      <c r="G273" s="2"/>
      <c r="H273" s="8">
        <f t="shared" si="134"/>
        <v>1</v>
      </c>
      <c r="I273" s="16">
        <f t="shared" si="135"/>
        <v>0.88018813951940023</v>
      </c>
      <c r="J273" s="9">
        <f t="shared" si="136"/>
        <v>1.0000011002209452</v>
      </c>
      <c r="K273" s="8">
        <f t="shared" si="137"/>
        <v>0.5</v>
      </c>
      <c r="L273" s="16">
        <f t="shared" si="138"/>
        <v>0.32693094787634341</v>
      </c>
      <c r="M273" s="9">
        <f t="shared" si="139"/>
        <v>0.6730734530478506</v>
      </c>
      <c r="N273" s="8">
        <f t="shared" si="140"/>
        <v>0.5</v>
      </c>
      <c r="O273" s="16">
        <f t="shared" si="141"/>
        <v>0.28950225164688992</v>
      </c>
      <c r="P273" s="9">
        <f t="shared" si="142"/>
        <v>0.67306905212715373</v>
      </c>
      <c r="Q273" s="9" t="str">
        <f t="shared" si="143"/>
        <v>FAIL</v>
      </c>
    </row>
    <row r="274" spans="2:17" ht="15" thickBot="1"/>
    <row r="275" spans="2:17">
      <c r="B275" s="3">
        <v>0</v>
      </c>
      <c r="C275" s="11">
        <f>20-B275</f>
        <v>20</v>
      </c>
      <c r="D275" s="1"/>
      <c r="E275" s="3">
        <v>11</v>
      </c>
      <c r="F275" s="11">
        <f>20-E275</f>
        <v>9</v>
      </c>
      <c r="G275" s="2"/>
      <c r="H275" s="5">
        <f>B275/SUM(B275:C275)</f>
        <v>0</v>
      </c>
      <c r="I275" s="41">
        <f>((B275+1.3613)-(1.65*SQRT(B275-(B275^2/SUM(B275:C275))+0.6806)))/(SUM(B275:C275)+2.7225)</f>
        <v>3.3007032488877747E-6</v>
      </c>
      <c r="J275" s="4">
        <f>((B275+1.3613)+(1.65*SQRT(B275-(B275^2/SUM(B275:C275))+0.6806)))/(SUM(B275:C275)+2.7225)</f>
        <v>0.1198162614047938</v>
      </c>
      <c r="K275" s="5">
        <f>E275/SUM(E275:F275)</f>
        <v>0.55000000000000004</v>
      </c>
      <c r="L275" s="41">
        <f>((E275+1.3613)-(1.65*SQRT(E275-(E275^2/SUM(E275:F275))+0.6806)))/(SUM(E275:F275)+2.7225)</f>
        <v>0.37170355009739847</v>
      </c>
      <c r="M275" s="4">
        <f>((E275+1.3613)+(1.65*SQRT(E275-(E275^2/SUM(E275:F275))+0.6806)))/(SUM(E275:F275)+2.7225)</f>
        <v>0.71631933470841069</v>
      </c>
      <c r="N275" s="5">
        <f>H275-K275</f>
        <v>-0.55000000000000004</v>
      </c>
      <c r="O275" s="41">
        <f>N275-SQRT((H275-I275)^2+(K275-M275)^2)</f>
        <v>-0.71631933474116294</v>
      </c>
      <c r="P275" s="4">
        <f>N275+SQRT((H275-J275)^2+(K275-L275)^2)</f>
        <v>-0.33518482235909686</v>
      </c>
      <c r="Q275" s="4" t="str">
        <f>IF(O275*P275&lt;0,"PASS","FAIL")</f>
        <v>FAIL</v>
      </c>
    </row>
    <row r="276" spans="2:17">
      <c r="B276" s="12">
        <v>1</v>
      </c>
      <c r="C276" s="13">
        <f t="shared" ref="C276:C295" si="144">20-B276</f>
        <v>19</v>
      </c>
      <c r="D276" s="1"/>
      <c r="E276" s="12">
        <v>11</v>
      </c>
      <c r="F276" s="13">
        <f t="shared" ref="F276:F295" si="145">20-E276</f>
        <v>9</v>
      </c>
      <c r="G276" s="2"/>
      <c r="H276" s="6">
        <f t="shared" ref="H276:H295" si="146">B276/SUM(B276:C276)</f>
        <v>0.05</v>
      </c>
      <c r="I276" s="32">
        <f t="shared" ref="I276:I295" si="147">((B276+1.3613)-(1.65*SQRT(B276-(B276^2/SUM(B276:C276))+0.6806)))/(SUM(B276:C276)+2.7225)</f>
        <v>1.1193017560007713E-2</v>
      </c>
      <c r="J276" s="7">
        <f t="shared" ref="J276:J295" si="148">((B276+1.3613)+(1.65*SQRT(B276-(B276^2/SUM(B276:C276))+0.6806)))/(SUM(B276:C276)+2.7225)</f>
        <v>0.19664502842965012</v>
      </c>
      <c r="K276" s="6">
        <f t="shared" ref="K276:K295" si="149">E276/SUM(E276:F276)</f>
        <v>0.55000000000000004</v>
      </c>
      <c r="L276" s="32">
        <f t="shared" ref="L276:L295" si="150">((E276+1.3613)-(1.65*SQRT(E276-(E276^2/SUM(E276:F276))+0.6806)))/(SUM(E276:F276)+2.7225)</f>
        <v>0.37170355009739847</v>
      </c>
      <c r="M276" s="7">
        <f t="shared" ref="M276:M295" si="151">((E276+1.3613)+(1.65*SQRT(E276-(E276^2/SUM(E276:F276))+0.6806)))/(SUM(E276:F276)+2.7225)</f>
        <v>0.71631933470841069</v>
      </c>
      <c r="N276" s="6">
        <f t="shared" ref="N276:N295" si="152">H276-K276</f>
        <v>-0.5</v>
      </c>
      <c r="O276" s="32">
        <f t="shared" ref="O276:O295" si="153">N276-SQRT((H276-I276)^2+(K276-M276)^2)</f>
        <v>-0.67078671782063792</v>
      </c>
      <c r="P276" s="7">
        <f t="shared" ref="P276:P295" si="154">N276+SQRT((H276-J276)^2+(K276-L276)^2)</f>
        <v>-0.2691442259526442</v>
      </c>
      <c r="Q276" s="7" t="str">
        <f t="shared" ref="Q276:Q295" si="155">IF(O276*P276&lt;0,"PASS","FAIL")</f>
        <v>FAIL</v>
      </c>
    </row>
    <row r="277" spans="2:17">
      <c r="B277" s="12">
        <v>2</v>
      </c>
      <c r="C277" s="13">
        <f t="shared" si="144"/>
        <v>18</v>
      </c>
      <c r="D277" s="1"/>
      <c r="E277" s="12">
        <v>11</v>
      </c>
      <c r="F277" s="13">
        <f t="shared" si="145"/>
        <v>9</v>
      </c>
      <c r="G277" s="2"/>
      <c r="H277" s="6">
        <f t="shared" si="146"/>
        <v>0.1</v>
      </c>
      <c r="I277" s="32">
        <f t="shared" si="147"/>
        <v>3.3559823754916465E-2</v>
      </c>
      <c r="J277" s="7">
        <f t="shared" si="148"/>
        <v>0.26229670611635653</v>
      </c>
      <c r="K277" s="6">
        <f t="shared" si="149"/>
        <v>0.55000000000000004</v>
      </c>
      <c r="L277" s="32">
        <f t="shared" si="150"/>
        <v>0.37170355009739847</v>
      </c>
      <c r="M277" s="7">
        <f t="shared" si="151"/>
        <v>0.71631933470841069</v>
      </c>
      <c r="N277" s="6">
        <f t="shared" si="152"/>
        <v>-0.45000000000000007</v>
      </c>
      <c r="O277" s="32">
        <f t="shared" si="153"/>
        <v>-0.62909890596350981</v>
      </c>
      <c r="P277" s="7">
        <f t="shared" si="154"/>
        <v>-0.20889868340448683</v>
      </c>
      <c r="Q277" s="7" t="str">
        <f t="shared" si="155"/>
        <v>FAIL</v>
      </c>
    </row>
    <row r="278" spans="2:17">
      <c r="B278" s="12">
        <v>3</v>
      </c>
      <c r="C278" s="13">
        <f t="shared" si="144"/>
        <v>17</v>
      </c>
      <c r="D278" s="1"/>
      <c r="E278" s="12">
        <v>11</v>
      </c>
      <c r="F278" s="13">
        <f t="shared" si="145"/>
        <v>9</v>
      </c>
      <c r="G278" s="2"/>
      <c r="H278" s="6">
        <f t="shared" si="146"/>
        <v>0.15</v>
      </c>
      <c r="I278" s="32">
        <f t="shared" si="147"/>
        <v>6.1419802519351356E-2</v>
      </c>
      <c r="J278" s="7">
        <f t="shared" si="148"/>
        <v>0.32245521123353676</v>
      </c>
      <c r="K278" s="6">
        <f t="shared" si="149"/>
        <v>0.55000000000000004</v>
      </c>
      <c r="L278" s="32">
        <f t="shared" si="150"/>
        <v>0.37170355009739847</v>
      </c>
      <c r="M278" s="7">
        <f t="shared" si="151"/>
        <v>0.71631933470841069</v>
      </c>
      <c r="N278" s="6">
        <f t="shared" si="152"/>
        <v>-0.4</v>
      </c>
      <c r="O278" s="32">
        <f t="shared" si="153"/>
        <v>-0.58843718445030713</v>
      </c>
      <c r="P278" s="7">
        <f t="shared" si="154"/>
        <v>-0.1519467316694362</v>
      </c>
      <c r="Q278" s="7" t="str">
        <f t="shared" si="155"/>
        <v>FAIL</v>
      </c>
    </row>
    <row r="279" spans="2:17">
      <c r="B279" s="12">
        <v>4</v>
      </c>
      <c r="C279" s="13">
        <f t="shared" si="144"/>
        <v>16</v>
      </c>
      <c r="D279" s="1"/>
      <c r="E279" s="12">
        <v>11</v>
      </c>
      <c r="F279" s="13">
        <f t="shared" si="145"/>
        <v>9</v>
      </c>
      <c r="G279" s="2"/>
      <c r="H279" s="6">
        <f t="shared" si="146"/>
        <v>0.2</v>
      </c>
      <c r="I279" s="32">
        <f t="shared" si="147"/>
        <v>9.2900237075401015E-2</v>
      </c>
      <c r="J279" s="7">
        <f t="shared" si="148"/>
        <v>0.37899326055910226</v>
      </c>
      <c r="K279" s="6">
        <f t="shared" si="149"/>
        <v>0.55000000000000004</v>
      </c>
      <c r="L279" s="32">
        <f t="shared" si="150"/>
        <v>0.37170355009739847</v>
      </c>
      <c r="M279" s="7">
        <f t="shared" si="151"/>
        <v>0.71631933470841069</v>
      </c>
      <c r="N279" s="6">
        <f t="shared" si="152"/>
        <v>-0.35000000000000003</v>
      </c>
      <c r="O279" s="32">
        <f t="shared" si="153"/>
        <v>-0.54781931229370318</v>
      </c>
      <c r="P279" s="7">
        <f t="shared" si="154"/>
        <v>-9.7357542417254084E-2</v>
      </c>
      <c r="Q279" s="7" t="str">
        <f t="shared" si="155"/>
        <v>FAIL</v>
      </c>
    </row>
    <row r="280" spans="2:17">
      <c r="B280" s="12">
        <v>5</v>
      </c>
      <c r="C280" s="13">
        <f t="shared" si="144"/>
        <v>15</v>
      </c>
      <c r="D280" s="1"/>
      <c r="E280" s="12">
        <v>11</v>
      </c>
      <c r="F280" s="13">
        <f t="shared" si="145"/>
        <v>9</v>
      </c>
      <c r="G280" s="2"/>
      <c r="H280" s="6">
        <f t="shared" si="146"/>
        <v>0.25</v>
      </c>
      <c r="I280" s="32">
        <f t="shared" si="147"/>
        <v>0.12710822188096477</v>
      </c>
      <c r="J280" s="7">
        <f t="shared" si="148"/>
        <v>0.43280375963515361</v>
      </c>
      <c r="K280" s="6">
        <f t="shared" si="149"/>
        <v>0.55000000000000004</v>
      </c>
      <c r="L280" s="32">
        <f t="shared" si="150"/>
        <v>0.37170355009739847</v>
      </c>
      <c r="M280" s="7">
        <f t="shared" si="151"/>
        <v>0.71631933470841069</v>
      </c>
      <c r="N280" s="6">
        <f t="shared" si="152"/>
        <v>-0.30000000000000004</v>
      </c>
      <c r="O280" s="32">
        <f t="shared" si="153"/>
        <v>-0.5067958177215065</v>
      </c>
      <c r="P280" s="7">
        <f t="shared" si="154"/>
        <v>-4.4643702672877261E-2</v>
      </c>
      <c r="Q280" s="7" t="str">
        <f t="shared" si="155"/>
        <v>FAIL</v>
      </c>
    </row>
    <row r="281" spans="2:17">
      <c r="B281" s="12">
        <v>6</v>
      </c>
      <c r="C281" s="13">
        <f t="shared" si="144"/>
        <v>14</v>
      </c>
      <c r="D281" s="1"/>
      <c r="E281" s="12">
        <v>11</v>
      </c>
      <c r="F281" s="13">
        <f t="shared" si="145"/>
        <v>9</v>
      </c>
      <c r="G281" s="2"/>
      <c r="H281" s="6">
        <f t="shared" si="146"/>
        <v>0.3</v>
      </c>
      <c r="I281" s="32">
        <f t="shared" si="147"/>
        <v>0.16354304302976813</v>
      </c>
      <c r="J281" s="7">
        <f t="shared" si="148"/>
        <v>0.48438742236796539</v>
      </c>
      <c r="K281" s="6">
        <f t="shared" si="149"/>
        <v>0.55000000000000004</v>
      </c>
      <c r="L281" s="32">
        <f t="shared" si="150"/>
        <v>0.37170355009739847</v>
      </c>
      <c r="M281" s="7">
        <f t="shared" si="151"/>
        <v>0.71631933470841069</v>
      </c>
      <c r="N281" s="6">
        <f t="shared" si="152"/>
        <v>-0.25000000000000006</v>
      </c>
      <c r="O281" s="32">
        <f t="shared" si="153"/>
        <v>-0.46513396338891744</v>
      </c>
      <c r="P281" s="7">
        <f t="shared" si="154"/>
        <v>6.4923889228944431E-3</v>
      </c>
      <c r="Q281" s="7" t="str">
        <f t="shared" si="155"/>
        <v>PASS</v>
      </c>
    </row>
    <row r="282" spans="2:17">
      <c r="B282" s="12">
        <v>7</v>
      </c>
      <c r="C282" s="13">
        <f t="shared" si="144"/>
        <v>13</v>
      </c>
      <c r="D282" s="1"/>
      <c r="E282" s="12">
        <v>11</v>
      </c>
      <c r="F282" s="13">
        <f t="shared" si="145"/>
        <v>9</v>
      </c>
      <c r="G282" s="2"/>
      <c r="H282" s="6">
        <f t="shared" si="146"/>
        <v>0.35</v>
      </c>
      <c r="I282" s="32">
        <f t="shared" si="147"/>
        <v>0.20189973247796225</v>
      </c>
      <c r="J282" s="7">
        <f t="shared" si="148"/>
        <v>0.53404921680138639</v>
      </c>
      <c r="K282" s="6">
        <f t="shared" si="149"/>
        <v>0.55000000000000004</v>
      </c>
      <c r="L282" s="32">
        <f t="shared" si="150"/>
        <v>0.37170355009739847</v>
      </c>
      <c r="M282" s="7">
        <f t="shared" si="151"/>
        <v>0.71631933470841069</v>
      </c>
      <c r="N282" s="6">
        <f t="shared" si="152"/>
        <v>-0.20000000000000007</v>
      </c>
      <c r="O282" s="32">
        <f t="shared" si="153"/>
        <v>-0.42270116824558307</v>
      </c>
      <c r="P282" s="7">
        <f t="shared" si="154"/>
        <v>5.6249367322291355E-2</v>
      </c>
      <c r="Q282" s="7" t="str">
        <f t="shared" si="155"/>
        <v>PASS</v>
      </c>
    </row>
    <row r="283" spans="2:17">
      <c r="B283" s="12">
        <v>8</v>
      </c>
      <c r="C283" s="13">
        <f t="shared" si="144"/>
        <v>12</v>
      </c>
      <c r="D283" s="1"/>
      <c r="E283" s="12">
        <v>11</v>
      </c>
      <c r="F283" s="13">
        <f t="shared" si="145"/>
        <v>9</v>
      </c>
      <c r="G283" s="2"/>
      <c r="H283" s="6">
        <f t="shared" si="146"/>
        <v>0.4</v>
      </c>
      <c r="I283" s="32">
        <f t="shared" si="147"/>
        <v>0.24198647075497337</v>
      </c>
      <c r="J283" s="7">
        <f t="shared" si="148"/>
        <v>0.5819809624059904</v>
      </c>
      <c r="K283" s="6">
        <f t="shared" si="149"/>
        <v>0.55000000000000004</v>
      </c>
      <c r="L283" s="32">
        <f t="shared" si="150"/>
        <v>0.37170355009739847</v>
      </c>
      <c r="M283" s="7">
        <f t="shared" si="151"/>
        <v>0.71631933470841069</v>
      </c>
      <c r="N283" s="6">
        <f t="shared" si="152"/>
        <v>-0.15000000000000002</v>
      </c>
      <c r="O283" s="32">
        <f t="shared" si="153"/>
        <v>-0.37941315682043442</v>
      </c>
      <c r="P283" s="7">
        <f t="shared" si="154"/>
        <v>0.10476792326759149</v>
      </c>
      <c r="Q283" s="7" t="str">
        <f t="shared" si="155"/>
        <v>PASS</v>
      </c>
    </row>
    <row r="284" spans="2:17">
      <c r="B284" s="12">
        <v>9</v>
      </c>
      <c r="C284" s="13">
        <f t="shared" si="144"/>
        <v>11</v>
      </c>
      <c r="D284" s="1"/>
      <c r="E284" s="12">
        <v>11</v>
      </c>
      <c r="F284" s="13">
        <f t="shared" si="145"/>
        <v>9</v>
      </c>
      <c r="G284" s="2"/>
      <c r="H284" s="6">
        <f t="shared" si="146"/>
        <v>0.45</v>
      </c>
      <c r="I284" s="32">
        <f t="shared" si="147"/>
        <v>0.28368506621578338</v>
      </c>
      <c r="J284" s="7">
        <f t="shared" si="148"/>
        <v>0.62830085082679554</v>
      </c>
      <c r="K284" s="6">
        <f t="shared" si="149"/>
        <v>0.55000000000000004</v>
      </c>
      <c r="L284" s="32">
        <f t="shared" si="150"/>
        <v>0.37170355009739847</v>
      </c>
      <c r="M284" s="7">
        <f t="shared" si="151"/>
        <v>0.71631933470841069</v>
      </c>
      <c r="N284" s="6">
        <f t="shared" si="152"/>
        <v>-0.10000000000000003</v>
      </c>
      <c r="O284" s="32">
        <f t="shared" si="153"/>
        <v>-0.33520794692674971</v>
      </c>
      <c r="P284" s="7">
        <f t="shared" si="154"/>
        <v>0.15215236951777805</v>
      </c>
      <c r="Q284" s="7" t="str">
        <f t="shared" si="155"/>
        <v>PASS</v>
      </c>
    </row>
    <row r="285" spans="2:17">
      <c r="B285" s="12">
        <v>10</v>
      </c>
      <c r="C285" s="13">
        <f t="shared" si="144"/>
        <v>10</v>
      </c>
      <c r="D285" s="1"/>
      <c r="E285" s="12">
        <v>11</v>
      </c>
      <c r="F285" s="13">
        <f t="shared" si="145"/>
        <v>9</v>
      </c>
      <c r="G285" s="2"/>
      <c r="H285" s="6">
        <f t="shared" si="146"/>
        <v>0.5</v>
      </c>
      <c r="I285" s="32">
        <f t="shared" si="147"/>
        <v>0.32693094787634341</v>
      </c>
      <c r="J285" s="7">
        <f t="shared" si="148"/>
        <v>0.6730734530478506</v>
      </c>
      <c r="K285" s="6">
        <f t="shared" si="149"/>
        <v>0.55000000000000004</v>
      </c>
      <c r="L285" s="32">
        <f t="shared" si="150"/>
        <v>0.37170355009739847</v>
      </c>
      <c r="M285" s="7">
        <f t="shared" si="151"/>
        <v>0.71631933470841069</v>
      </c>
      <c r="N285" s="6">
        <f t="shared" si="152"/>
        <v>-5.0000000000000044E-2</v>
      </c>
      <c r="O285" s="32">
        <f t="shared" si="153"/>
        <v>-0.29003128525429622</v>
      </c>
      <c r="P285" s="7">
        <f t="shared" si="154"/>
        <v>0.19848348878301236</v>
      </c>
      <c r="Q285" s="7" t="str">
        <f t="shared" si="155"/>
        <v>PASS</v>
      </c>
    </row>
    <row r="286" spans="2:17">
      <c r="B286" s="12">
        <v>11</v>
      </c>
      <c r="C286" s="13">
        <f t="shared" si="144"/>
        <v>9</v>
      </c>
      <c r="D286" s="1"/>
      <c r="E286" s="12">
        <v>11</v>
      </c>
      <c r="F286" s="13">
        <f t="shared" si="145"/>
        <v>9</v>
      </c>
      <c r="G286" s="2"/>
      <c r="H286" s="6">
        <f t="shared" si="146"/>
        <v>0.55000000000000004</v>
      </c>
      <c r="I286" s="32">
        <f t="shared" si="147"/>
        <v>0.37170355009739847</v>
      </c>
      <c r="J286" s="7">
        <f t="shared" si="148"/>
        <v>0.71631933470841069</v>
      </c>
      <c r="K286" s="6">
        <f t="shared" si="149"/>
        <v>0.55000000000000004</v>
      </c>
      <c r="L286" s="32">
        <f t="shared" si="150"/>
        <v>0.37170355009739847</v>
      </c>
      <c r="M286" s="7">
        <f t="shared" si="151"/>
        <v>0.71631933470841069</v>
      </c>
      <c r="N286" s="6">
        <f t="shared" si="152"/>
        <v>0</v>
      </c>
      <c r="O286" s="32">
        <f t="shared" si="153"/>
        <v>-0.24382728548240709</v>
      </c>
      <c r="P286" s="7">
        <f t="shared" si="154"/>
        <v>0.24382728548240709</v>
      </c>
      <c r="Q286" s="7" t="str">
        <f t="shared" si="155"/>
        <v>PASS</v>
      </c>
    </row>
    <row r="287" spans="2:17">
      <c r="B287" s="12">
        <v>12</v>
      </c>
      <c r="C287" s="13">
        <f t="shared" si="144"/>
        <v>8</v>
      </c>
      <c r="D287" s="1"/>
      <c r="E287" s="12">
        <v>11</v>
      </c>
      <c r="F287" s="13">
        <f t="shared" si="145"/>
        <v>9</v>
      </c>
      <c r="G287" s="2"/>
      <c r="H287" s="6">
        <f t="shared" si="146"/>
        <v>0.6</v>
      </c>
      <c r="I287" s="32">
        <f t="shared" si="147"/>
        <v>0.41802343851820367</v>
      </c>
      <c r="J287" s="7">
        <f t="shared" si="148"/>
        <v>0.75801793016922059</v>
      </c>
      <c r="K287" s="6">
        <f t="shared" si="149"/>
        <v>0.55000000000000004</v>
      </c>
      <c r="L287" s="32">
        <f t="shared" si="150"/>
        <v>0.37170355009739847</v>
      </c>
      <c r="M287" s="7">
        <f t="shared" si="151"/>
        <v>0.71631933470841069</v>
      </c>
      <c r="N287" s="6">
        <f t="shared" si="152"/>
        <v>4.9999999999999933E-2</v>
      </c>
      <c r="O287" s="32">
        <f t="shared" si="153"/>
        <v>-0.19653111370897255</v>
      </c>
      <c r="P287" s="7">
        <f t="shared" si="154"/>
        <v>0.28824208340013224</v>
      </c>
      <c r="Q287" s="7" t="str">
        <f t="shared" si="155"/>
        <v>PASS</v>
      </c>
    </row>
    <row r="288" spans="2:17">
      <c r="B288" s="12">
        <v>13</v>
      </c>
      <c r="C288" s="13">
        <f t="shared" si="144"/>
        <v>7</v>
      </c>
      <c r="D288" s="1"/>
      <c r="E288" s="12">
        <v>11</v>
      </c>
      <c r="F288" s="13">
        <f t="shared" si="145"/>
        <v>9</v>
      </c>
      <c r="G288" s="2"/>
      <c r="H288" s="6">
        <f t="shared" si="146"/>
        <v>0.65</v>
      </c>
      <c r="I288" s="32">
        <f t="shared" si="147"/>
        <v>0.46595518412280768</v>
      </c>
      <c r="J288" s="7">
        <f t="shared" si="148"/>
        <v>0.79810466844623185</v>
      </c>
      <c r="K288" s="6">
        <f t="shared" si="149"/>
        <v>0.55000000000000004</v>
      </c>
      <c r="L288" s="32">
        <f t="shared" si="150"/>
        <v>0.37170355009739847</v>
      </c>
      <c r="M288" s="7">
        <f t="shared" si="151"/>
        <v>0.71631933470841069</v>
      </c>
      <c r="N288" s="6">
        <f t="shared" si="152"/>
        <v>9.9999999999999978E-2</v>
      </c>
      <c r="O288" s="32">
        <f t="shared" si="153"/>
        <v>-0.14806171681482408</v>
      </c>
      <c r="P288" s="7">
        <f t="shared" si="154"/>
        <v>0.33178571324272588</v>
      </c>
      <c r="Q288" s="7" t="str">
        <f t="shared" si="155"/>
        <v>PASS</v>
      </c>
    </row>
    <row r="289" spans="2:17">
      <c r="B289" s="12">
        <v>14</v>
      </c>
      <c r="C289" s="13">
        <f t="shared" si="144"/>
        <v>6</v>
      </c>
      <c r="D289" s="1"/>
      <c r="E289" s="12">
        <v>11</v>
      </c>
      <c r="F289" s="13">
        <f t="shared" si="145"/>
        <v>9</v>
      </c>
      <c r="G289" s="2"/>
      <c r="H289" s="6">
        <f t="shared" si="146"/>
        <v>0.7</v>
      </c>
      <c r="I289" s="32">
        <f t="shared" si="147"/>
        <v>0.51561697855622868</v>
      </c>
      <c r="J289" s="7">
        <f t="shared" si="148"/>
        <v>0.83646135789442599</v>
      </c>
      <c r="K289" s="6">
        <f t="shared" si="149"/>
        <v>0.55000000000000004</v>
      </c>
      <c r="L289" s="32">
        <f t="shared" si="150"/>
        <v>0.37170355009739847</v>
      </c>
      <c r="M289" s="7">
        <f t="shared" si="151"/>
        <v>0.71631933470841069</v>
      </c>
      <c r="N289" s="6">
        <f t="shared" si="152"/>
        <v>0.14999999999999991</v>
      </c>
      <c r="O289" s="32">
        <f t="shared" si="153"/>
        <v>-9.8312745735257417E-2</v>
      </c>
      <c r="P289" s="7">
        <f t="shared" si="154"/>
        <v>0.37452466734472967</v>
      </c>
      <c r="Q289" s="7" t="str">
        <f t="shared" si="155"/>
        <v>PASS</v>
      </c>
    </row>
    <row r="290" spans="2:17">
      <c r="B290" s="12">
        <v>15</v>
      </c>
      <c r="C290" s="13">
        <f t="shared" si="144"/>
        <v>5</v>
      </c>
      <c r="D290" s="1"/>
      <c r="E290" s="12">
        <v>11</v>
      </c>
      <c r="F290" s="13">
        <f t="shared" si="145"/>
        <v>9</v>
      </c>
      <c r="G290" s="2"/>
      <c r="H290" s="6">
        <f t="shared" si="146"/>
        <v>0.75</v>
      </c>
      <c r="I290" s="32">
        <f t="shared" si="147"/>
        <v>0.56720064128904046</v>
      </c>
      <c r="J290" s="7">
        <f t="shared" si="148"/>
        <v>0.87289617904322925</v>
      </c>
      <c r="K290" s="6">
        <f t="shared" si="149"/>
        <v>0.55000000000000004</v>
      </c>
      <c r="L290" s="32">
        <f t="shared" si="150"/>
        <v>0.37170355009739847</v>
      </c>
      <c r="M290" s="7">
        <f t="shared" si="151"/>
        <v>0.71631933470841069</v>
      </c>
      <c r="N290" s="6">
        <f t="shared" si="152"/>
        <v>0.19999999999999996</v>
      </c>
      <c r="O290" s="32">
        <f t="shared" si="153"/>
        <v>-4.7139083600685083E-2</v>
      </c>
      <c r="P290" s="7">
        <f t="shared" si="154"/>
        <v>0.4165481352293211</v>
      </c>
      <c r="Q290" s="7" t="str">
        <f t="shared" si="155"/>
        <v>PASS</v>
      </c>
    </row>
    <row r="291" spans="2:17">
      <c r="B291" s="12">
        <v>16</v>
      </c>
      <c r="C291" s="13">
        <f t="shared" si="144"/>
        <v>4</v>
      </c>
      <c r="D291" s="1"/>
      <c r="E291" s="12">
        <v>11</v>
      </c>
      <c r="F291" s="13">
        <f t="shared" si="145"/>
        <v>9</v>
      </c>
      <c r="G291" s="2"/>
      <c r="H291" s="6">
        <f t="shared" si="146"/>
        <v>0.8</v>
      </c>
      <c r="I291" s="32">
        <f t="shared" si="147"/>
        <v>0.62101114036509186</v>
      </c>
      <c r="J291" s="7">
        <f t="shared" si="148"/>
        <v>0.907104163848793</v>
      </c>
      <c r="K291" s="6">
        <f t="shared" si="149"/>
        <v>0.55000000000000004</v>
      </c>
      <c r="L291" s="32">
        <f t="shared" si="150"/>
        <v>0.37170355009739847</v>
      </c>
      <c r="M291" s="7">
        <f t="shared" si="151"/>
        <v>0.71631933470841069</v>
      </c>
      <c r="N291" s="6">
        <f t="shared" si="152"/>
        <v>0.25</v>
      </c>
      <c r="O291" s="32">
        <f t="shared" si="153"/>
        <v>5.6659398052469612E-3</v>
      </c>
      <c r="P291" s="7">
        <f t="shared" si="154"/>
        <v>0.45799261035339689</v>
      </c>
      <c r="Q291" s="7" t="str">
        <f t="shared" si="155"/>
        <v>FAIL</v>
      </c>
    </row>
    <row r="292" spans="2:17">
      <c r="B292" s="12">
        <v>17</v>
      </c>
      <c r="C292" s="13">
        <f t="shared" si="144"/>
        <v>3</v>
      </c>
      <c r="D292" s="1"/>
      <c r="E292" s="12">
        <v>11</v>
      </c>
      <c r="F292" s="13">
        <f t="shared" si="145"/>
        <v>9</v>
      </c>
      <c r="G292" s="2"/>
      <c r="H292" s="6">
        <f t="shared" si="146"/>
        <v>0.85</v>
      </c>
      <c r="I292" s="32">
        <f t="shared" si="147"/>
        <v>0.67754918969065736</v>
      </c>
      <c r="J292" s="7">
        <f t="shared" si="148"/>
        <v>0.93858459840484276</v>
      </c>
      <c r="K292" s="6">
        <f t="shared" si="149"/>
        <v>0.55000000000000004</v>
      </c>
      <c r="L292" s="32">
        <f t="shared" si="150"/>
        <v>0.37170355009739847</v>
      </c>
      <c r="M292" s="7">
        <f t="shared" si="151"/>
        <v>0.71631933470841069</v>
      </c>
      <c r="N292" s="6">
        <f t="shared" si="152"/>
        <v>0.29999999999999993</v>
      </c>
      <c r="O292" s="32">
        <f t="shared" si="153"/>
        <v>6.0414100844400215E-2</v>
      </c>
      <c r="P292" s="7">
        <f t="shared" si="154"/>
        <v>0.4990900678648188</v>
      </c>
      <c r="Q292" s="7" t="str">
        <f t="shared" si="155"/>
        <v>FAIL</v>
      </c>
    </row>
    <row r="293" spans="2:17">
      <c r="B293" s="12">
        <v>18</v>
      </c>
      <c r="C293" s="13">
        <f t="shared" si="144"/>
        <v>2</v>
      </c>
      <c r="D293" s="1"/>
      <c r="E293" s="12">
        <v>11</v>
      </c>
      <c r="F293" s="13">
        <f t="shared" si="145"/>
        <v>9</v>
      </c>
      <c r="G293" s="2"/>
      <c r="H293" s="6">
        <f t="shared" si="146"/>
        <v>0.9</v>
      </c>
      <c r="I293" s="32">
        <f t="shared" si="147"/>
        <v>0.7377076948078376</v>
      </c>
      <c r="J293" s="7">
        <f t="shared" si="148"/>
        <v>0.96644457716927756</v>
      </c>
      <c r="K293" s="6">
        <f t="shared" si="149"/>
        <v>0.55000000000000004</v>
      </c>
      <c r="L293" s="32">
        <f t="shared" si="150"/>
        <v>0.37170355009739847</v>
      </c>
      <c r="M293" s="7">
        <f t="shared" si="151"/>
        <v>0.71631933470841069</v>
      </c>
      <c r="N293" s="6">
        <f t="shared" si="152"/>
        <v>0.35</v>
      </c>
      <c r="O293" s="32">
        <f t="shared" si="153"/>
        <v>0.11761903386371264</v>
      </c>
      <c r="P293" s="7">
        <f t="shared" si="154"/>
        <v>0.54027481673378375</v>
      </c>
      <c r="Q293" s="7" t="str">
        <f t="shared" si="155"/>
        <v>FAIL</v>
      </c>
    </row>
    <row r="294" spans="2:17">
      <c r="B294" s="12">
        <v>19</v>
      </c>
      <c r="C294" s="13">
        <f t="shared" si="144"/>
        <v>1</v>
      </c>
      <c r="D294" s="1"/>
      <c r="E294" s="12">
        <v>11</v>
      </c>
      <c r="F294" s="13">
        <f t="shared" si="145"/>
        <v>9</v>
      </c>
      <c r="G294" s="2"/>
      <c r="H294" s="6">
        <f t="shared" si="146"/>
        <v>0.95</v>
      </c>
      <c r="I294" s="32">
        <f t="shared" si="147"/>
        <v>0.80335937249454403</v>
      </c>
      <c r="J294" s="7">
        <f t="shared" si="148"/>
        <v>0.98881138336418628</v>
      </c>
      <c r="K294" s="6">
        <f t="shared" si="149"/>
        <v>0.55000000000000004</v>
      </c>
      <c r="L294" s="32">
        <f t="shared" si="150"/>
        <v>0.37170355009739847</v>
      </c>
      <c r="M294" s="7">
        <f t="shared" si="151"/>
        <v>0.71631933470841069</v>
      </c>
      <c r="N294" s="6">
        <f t="shared" si="152"/>
        <v>0.39999999999999991</v>
      </c>
      <c r="O294" s="32">
        <f t="shared" si="153"/>
        <v>0.17826683889629355</v>
      </c>
      <c r="P294" s="7">
        <f t="shared" si="154"/>
        <v>0.5824717718621506</v>
      </c>
      <c r="Q294" s="7" t="str">
        <f t="shared" si="155"/>
        <v>FAIL</v>
      </c>
    </row>
    <row r="295" spans="2:17" ht="15" thickBot="1">
      <c r="B295" s="15">
        <v>20</v>
      </c>
      <c r="C295" s="14">
        <f t="shared" si="144"/>
        <v>0</v>
      </c>
      <c r="D295" s="1"/>
      <c r="E295" s="15">
        <v>11</v>
      </c>
      <c r="F295" s="14">
        <f t="shared" si="145"/>
        <v>9</v>
      </c>
      <c r="G295" s="2"/>
      <c r="H295" s="8">
        <f t="shared" si="146"/>
        <v>1</v>
      </c>
      <c r="I295" s="16">
        <f t="shared" si="147"/>
        <v>0.88018813951940023</v>
      </c>
      <c r="J295" s="9">
        <f t="shared" si="148"/>
        <v>1.0000011002209452</v>
      </c>
      <c r="K295" s="8">
        <f t="shared" si="149"/>
        <v>0.55000000000000004</v>
      </c>
      <c r="L295" s="16">
        <f t="shared" si="150"/>
        <v>0.37170355009739847</v>
      </c>
      <c r="M295" s="9">
        <f t="shared" si="151"/>
        <v>0.71631933470841069</v>
      </c>
      <c r="N295" s="8">
        <f t="shared" si="152"/>
        <v>0.44999999999999996</v>
      </c>
      <c r="O295" s="16">
        <f t="shared" si="153"/>
        <v>0.24501950578244999</v>
      </c>
      <c r="P295" s="9">
        <f t="shared" si="154"/>
        <v>0.62829644990599609</v>
      </c>
      <c r="Q295" s="9" t="str">
        <f t="shared" si="155"/>
        <v>FAIL</v>
      </c>
    </row>
    <row r="296" spans="2:17" ht="15" thickBot="1"/>
    <row r="297" spans="2:17">
      <c r="B297" s="3">
        <v>0</v>
      </c>
      <c r="C297" s="11">
        <f>20-B297</f>
        <v>20</v>
      </c>
      <c r="D297" s="1"/>
      <c r="E297" s="3">
        <v>12</v>
      </c>
      <c r="F297" s="11">
        <f>20-E297</f>
        <v>8</v>
      </c>
      <c r="G297" s="2"/>
      <c r="H297" s="5">
        <f>B297/SUM(B297:C297)</f>
        <v>0</v>
      </c>
      <c r="I297" s="41">
        <f>((B297+1.3613)-(1.65*SQRT(B297-(B297^2/SUM(B297:C297))+0.6806)))/(SUM(B297:C297)+2.7225)</f>
        <v>3.3007032488877747E-6</v>
      </c>
      <c r="J297" s="4">
        <f>((B297+1.3613)+(1.65*SQRT(B297-(B297^2/SUM(B297:C297))+0.6806)))/(SUM(B297:C297)+2.7225)</f>
        <v>0.1198162614047938</v>
      </c>
      <c r="K297" s="5">
        <f>E297/SUM(E297:F297)</f>
        <v>0.6</v>
      </c>
      <c r="L297" s="41">
        <f>((E297+1.3613)-(1.65*SQRT(E297-(E297^2/SUM(E297:F297))+0.6806)))/(SUM(E297:F297)+2.7225)</f>
        <v>0.41802343851820367</v>
      </c>
      <c r="M297" s="4">
        <f>((E297+1.3613)+(1.65*SQRT(E297-(E297^2/SUM(E297:F297))+0.6806)))/(SUM(E297:F297)+2.7225)</f>
        <v>0.75801793016922059</v>
      </c>
      <c r="N297" s="5">
        <f>H297-K297</f>
        <v>-0.6</v>
      </c>
      <c r="O297" s="41">
        <f>N297-SQRT((H297-I297)^2+(K297-M297)^2)</f>
        <v>-0.75801793020369335</v>
      </c>
      <c r="P297" s="4">
        <f>N297+SQRT((H297-J297)^2+(K297-L297)^2)</f>
        <v>-0.38212066315100029</v>
      </c>
      <c r="Q297" s="4" t="str">
        <f>IF(O297*P297&lt;0,"PASS","FAIL")</f>
        <v>FAIL</v>
      </c>
    </row>
    <row r="298" spans="2:17">
      <c r="B298" s="12">
        <v>1</v>
      </c>
      <c r="C298" s="13">
        <f t="shared" ref="C298:C317" si="156">20-B298</f>
        <v>19</v>
      </c>
      <c r="D298" s="1"/>
      <c r="E298" s="12">
        <v>12</v>
      </c>
      <c r="F298" s="13">
        <f t="shared" ref="F298:F317" si="157">20-E298</f>
        <v>8</v>
      </c>
      <c r="G298" s="2"/>
      <c r="H298" s="6">
        <f t="shared" ref="H298:H317" si="158">B298/SUM(B298:C298)</f>
        <v>0.05</v>
      </c>
      <c r="I298" s="32">
        <f t="shared" ref="I298:I317" si="159">((B298+1.3613)-(1.65*SQRT(B298-(B298^2/SUM(B298:C298))+0.6806)))/(SUM(B298:C298)+2.7225)</f>
        <v>1.1193017560007713E-2</v>
      </c>
      <c r="J298" s="7">
        <f t="shared" ref="J298:J317" si="160">((B298+1.3613)+(1.65*SQRT(B298-(B298^2/SUM(B298:C298))+0.6806)))/(SUM(B298:C298)+2.7225)</f>
        <v>0.19664502842965012</v>
      </c>
      <c r="K298" s="6">
        <f t="shared" ref="K298:K317" si="161">E298/SUM(E298:F298)</f>
        <v>0.6</v>
      </c>
      <c r="L298" s="32">
        <f t="shared" ref="L298:L317" si="162">((E298+1.3613)-(1.65*SQRT(E298-(E298^2/SUM(E298:F298))+0.6806)))/(SUM(E298:F298)+2.7225)</f>
        <v>0.41802343851820367</v>
      </c>
      <c r="M298" s="7">
        <f t="shared" ref="M298:M317" si="163">((E298+1.3613)+(1.65*SQRT(E298-(E298^2/SUM(E298:F298))+0.6806)))/(SUM(E298:F298)+2.7225)</f>
        <v>0.75801793016922059</v>
      </c>
      <c r="N298" s="6">
        <f t="shared" ref="N298:N317" si="164">H298-K298</f>
        <v>-0.54999999999999993</v>
      </c>
      <c r="O298" s="32">
        <f t="shared" ref="O298:O317" si="165">N298-SQRT((H298-I298)^2+(K298-M298)^2)</f>
        <v>-0.71271339262968647</v>
      </c>
      <c r="P298" s="7">
        <f t="shared" ref="P298:P317" si="166">N298+SQRT((H298-J298)^2+(K298-L298)^2)</f>
        <v>-0.31629027985154123</v>
      </c>
      <c r="Q298" s="7" t="str">
        <f t="shared" ref="Q298:Q317" si="167">IF(O298*P298&lt;0,"PASS","FAIL")</f>
        <v>FAIL</v>
      </c>
    </row>
    <row r="299" spans="2:17">
      <c r="B299" s="12">
        <v>2</v>
      </c>
      <c r="C299" s="13">
        <f t="shared" si="156"/>
        <v>18</v>
      </c>
      <c r="D299" s="1"/>
      <c r="E299" s="12">
        <v>12</v>
      </c>
      <c r="F299" s="13">
        <f t="shared" si="157"/>
        <v>8</v>
      </c>
      <c r="G299" s="2"/>
      <c r="H299" s="6">
        <f t="shared" si="158"/>
        <v>0.1</v>
      </c>
      <c r="I299" s="32">
        <f t="shared" si="159"/>
        <v>3.3559823754916465E-2</v>
      </c>
      <c r="J299" s="7">
        <f t="shared" si="160"/>
        <v>0.26229670611635653</v>
      </c>
      <c r="K299" s="6">
        <f t="shared" si="161"/>
        <v>0.6</v>
      </c>
      <c r="L299" s="32">
        <f t="shared" si="162"/>
        <v>0.41802343851820367</v>
      </c>
      <c r="M299" s="7">
        <f t="shared" si="163"/>
        <v>0.75801793016922059</v>
      </c>
      <c r="N299" s="6">
        <f t="shared" si="164"/>
        <v>-0.5</v>
      </c>
      <c r="O299" s="32">
        <f t="shared" si="165"/>
        <v>-0.6714175115746418</v>
      </c>
      <c r="P299" s="7">
        <f t="shared" si="166"/>
        <v>-0.25616462573088994</v>
      </c>
      <c r="Q299" s="7" t="str">
        <f t="shared" si="167"/>
        <v>FAIL</v>
      </c>
    </row>
    <row r="300" spans="2:17">
      <c r="B300" s="12">
        <v>3</v>
      </c>
      <c r="C300" s="13">
        <f t="shared" si="156"/>
        <v>17</v>
      </c>
      <c r="D300" s="1"/>
      <c r="E300" s="12">
        <v>12</v>
      </c>
      <c r="F300" s="13">
        <f t="shared" si="157"/>
        <v>8</v>
      </c>
      <c r="G300" s="2"/>
      <c r="H300" s="6">
        <f t="shared" si="158"/>
        <v>0.15</v>
      </c>
      <c r="I300" s="32">
        <f t="shared" si="159"/>
        <v>6.1419802519351356E-2</v>
      </c>
      <c r="J300" s="7">
        <f t="shared" si="160"/>
        <v>0.32245521123353676</v>
      </c>
      <c r="K300" s="6">
        <f t="shared" si="161"/>
        <v>0.6</v>
      </c>
      <c r="L300" s="32">
        <f t="shared" si="162"/>
        <v>0.41802343851820367</v>
      </c>
      <c r="M300" s="7">
        <f t="shared" si="163"/>
        <v>0.75801793016922059</v>
      </c>
      <c r="N300" s="6">
        <f t="shared" si="164"/>
        <v>-0.44999999999999996</v>
      </c>
      <c r="O300" s="32">
        <f t="shared" si="165"/>
        <v>-0.63115219468909389</v>
      </c>
      <c r="P300" s="7">
        <f t="shared" si="166"/>
        <v>-0.19928847491520896</v>
      </c>
      <c r="Q300" s="7" t="str">
        <f t="shared" si="167"/>
        <v>FAIL</v>
      </c>
    </row>
    <row r="301" spans="2:17">
      <c r="B301" s="12">
        <v>4</v>
      </c>
      <c r="C301" s="13">
        <f t="shared" si="156"/>
        <v>16</v>
      </c>
      <c r="D301" s="1"/>
      <c r="E301" s="12">
        <v>12</v>
      </c>
      <c r="F301" s="13">
        <f t="shared" si="157"/>
        <v>8</v>
      </c>
      <c r="G301" s="2"/>
      <c r="H301" s="6">
        <f t="shared" si="158"/>
        <v>0.2</v>
      </c>
      <c r="I301" s="32">
        <f t="shared" si="159"/>
        <v>9.2900237075401015E-2</v>
      </c>
      <c r="J301" s="7">
        <f t="shared" si="160"/>
        <v>0.37899326055910226</v>
      </c>
      <c r="K301" s="6">
        <f t="shared" si="161"/>
        <v>0.6</v>
      </c>
      <c r="L301" s="32">
        <f t="shared" si="162"/>
        <v>0.41802343851820367</v>
      </c>
      <c r="M301" s="7">
        <f t="shared" si="163"/>
        <v>0.75801793016922059</v>
      </c>
      <c r="N301" s="6">
        <f t="shared" si="164"/>
        <v>-0.39999999999999997</v>
      </c>
      <c r="O301" s="32">
        <f t="shared" si="165"/>
        <v>-0.59089270670580896</v>
      </c>
      <c r="P301" s="7">
        <f t="shared" si="166"/>
        <v>-0.14474707395542613</v>
      </c>
      <c r="Q301" s="7" t="str">
        <f t="shared" si="167"/>
        <v>FAIL</v>
      </c>
    </row>
    <row r="302" spans="2:17">
      <c r="B302" s="12">
        <v>5</v>
      </c>
      <c r="C302" s="13">
        <f t="shared" si="156"/>
        <v>15</v>
      </c>
      <c r="D302" s="1"/>
      <c r="E302" s="12">
        <v>12</v>
      </c>
      <c r="F302" s="13">
        <f t="shared" si="157"/>
        <v>8</v>
      </c>
      <c r="G302" s="2"/>
      <c r="H302" s="6">
        <f t="shared" si="158"/>
        <v>0.25</v>
      </c>
      <c r="I302" s="32">
        <f t="shared" si="159"/>
        <v>0.12710822188096477</v>
      </c>
      <c r="J302" s="7">
        <f t="shared" si="160"/>
        <v>0.43280375963515361</v>
      </c>
      <c r="K302" s="6">
        <f t="shared" si="161"/>
        <v>0.6</v>
      </c>
      <c r="L302" s="32">
        <f t="shared" si="162"/>
        <v>0.41802343851820367</v>
      </c>
      <c r="M302" s="7">
        <f t="shared" si="163"/>
        <v>0.75801793016922059</v>
      </c>
      <c r="N302" s="6">
        <f t="shared" si="164"/>
        <v>-0.35</v>
      </c>
      <c r="O302" s="32">
        <f t="shared" si="165"/>
        <v>-0.55018005740888087</v>
      </c>
      <c r="P302" s="7">
        <f t="shared" si="166"/>
        <v>-9.2060698098399452E-2</v>
      </c>
      <c r="Q302" s="7" t="str">
        <f t="shared" si="167"/>
        <v>FAIL</v>
      </c>
    </row>
    <row r="303" spans="2:17">
      <c r="B303" s="12">
        <v>6</v>
      </c>
      <c r="C303" s="13">
        <f t="shared" si="156"/>
        <v>14</v>
      </c>
      <c r="D303" s="1"/>
      <c r="E303" s="12">
        <v>12</v>
      </c>
      <c r="F303" s="13">
        <f t="shared" si="157"/>
        <v>8</v>
      </c>
      <c r="G303" s="2"/>
      <c r="H303" s="6">
        <f t="shared" si="158"/>
        <v>0.3</v>
      </c>
      <c r="I303" s="32">
        <f t="shared" si="159"/>
        <v>0.16354304302976813</v>
      </c>
      <c r="J303" s="7">
        <f t="shared" si="160"/>
        <v>0.48438742236796539</v>
      </c>
      <c r="K303" s="6">
        <f t="shared" si="161"/>
        <v>0.6</v>
      </c>
      <c r="L303" s="32">
        <f t="shared" si="162"/>
        <v>0.41802343851820367</v>
      </c>
      <c r="M303" s="7">
        <f t="shared" si="163"/>
        <v>0.75801793016922059</v>
      </c>
      <c r="N303" s="6">
        <f t="shared" si="164"/>
        <v>-0.3</v>
      </c>
      <c r="O303" s="32">
        <f t="shared" si="165"/>
        <v>-0.50878258394928533</v>
      </c>
      <c r="P303" s="7">
        <f t="shared" si="166"/>
        <v>-4.0935933683884929E-2</v>
      </c>
      <c r="Q303" s="7" t="str">
        <f t="shared" si="167"/>
        <v>FAIL</v>
      </c>
    </row>
    <row r="304" spans="2:17">
      <c r="B304" s="12">
        <v>7</v>
      </c>
      <c r="C304" s="13">
        <f t="shared" si="156"/>
        <v>13</v>
      </c>
      <c r="D304" s="1"/>
      <c r="E304" s="12">
        <v>12</v>
      </c>
      <c r="F304" s="13">
        <f t="shared" si="157"/>
        <v>8</v>
      </c>
      <c r="G304" s="2"/>
      <c r="H304" s="6">
        <f t="shared" si="158"/>
        <v>0.35</v>
      </c>
      <c r="I304" s="32">
        <f t="shared" si="159"/>
        <v>0.20189973247796225</v>
      </c>
      <c r="J304" s="7">
        <f t="shared" si="160"/>
        <v>0.53404921680138639</v>
      </c>
      <c r="K304" s="6">
        <f t="shared" si="161"/>
        <v>0.6</v>
      </c>
      <c r="L304" s="32">
        <f t="shared" si="162"/>
        <v>0.41802343851820367</v>
      </c>
      <c r="M304" s="7">
        <f t="shared" si="163"/>
        <v>0.75801793016922059</v>
      </c>
      <c r="N304" s="6">
        <f t="shared" si="164"/>
        <v>-0.25</v>
      </c>
      <c r="O304" s="32">
        <f t="shared" si="165"/>
        <v>-0.46657182525680441</v>
      </c>
      <c r="P304" s="7">
        <f t="shared" si="166"/>
        <v>8.8234593964421348E-3</v>
      </c>
      <c r="Q304" s="7" t="str">
        <f t="shared" si="167"/>
        <v>PASS</v>
      </c>
    </row>
    <row r="305" spans="2:17">
      <c r="B305" s="12">
        <v>8</v>
      </c>
      <c r="C305" s="13">
        <f t="shared" si="156"/>
        <v>12</v>
      </c>
      <c r="D305" s="1"/>
      <c r="E305" s="12">
        <v>12</v>
      </c>
      <c r="F305" s="13">
        <f t="shared" si="157"/>
        <v>8</v>
      </c>
      <c r="G305" s="2"/>
      <c r="H305" s="6">
        <f t="shared" si="158"/>
        <v>0.4</v>
      </c>
      <c r="I305" s="32">
        <f t="shared" si="159"/>
        <v>0.24198647075497337</v>
      </c>
      <c r="J305" s="7">
        <f t="shared" si="160"/>
        <v>0.5819809624059904</v>
      </c>
      <c r="K305" s="6">
        <f t="shared" si="161"/>
        <v>0.6</v>
      </c>
      <c r="L305" s="32">
        <f t="shared" si="162"/>
        <v>0.41802343851820367</v>
      </c>
      <c r="M305" s="7">
        <f t="shared" si="163"/>
        <v>0.75801793016922059</v>
      </c>
      <c r="N305" s="6">
        <f t="shared" si="164"/>
        <v>-0.19999999999999996</v>
      </c>
      <c r="O305" s="32">
        <f t="shared" si="165"/>
        <v>-0.42346798804176305</v>
      </c>
      <c r="P305" s="7">
        <f t="shared" si="166"/>
        <v>5.7356833223733361E-2</v>
      </c>
      <c r="Q305" s="7" t="str">
        <f t="shared" si="167"/>
        <v>PASS</v>
      </c>
    </row>
    <row r="306" spans="2:17">
      <c r="B306" s="12">
        <v>9</v>
      </c>
      <c r="C306" s="13">
        <f t="shared" si="156"/>
        <v>11</v>
      </c>
      <c r="D306" s="1"/>
      <c r="E306" s="12">
        <v>12</v>
      </c>
      <c r="F306" s="13">
        <f t="shared" si="157"/>
        <v>8</v>
      </c>
      <c r="G306" s="2"/>
      <c r="H306" s="6">
        <f t="shared" si="158"/>
        <v>0.45</v>
      </c>
      <c r="I306" s="32">
        <f t="shared" si="159"/>
        <v>0.28368506621578338</v>
      </c>
      <c r="J306" s="7">
        <f t="shared" si="160"/>
        <v>0.62830085082679554</v>
      </c>
      <c r="K306" s="6">
        <f t="shared" si="161"/>
        <v>0.6</v>
      </c>
      <c r="L306" s="32">
        <f t="shared" si="162"/>
        <v>0.41802343851820367</v>
      </c>
      <c r="M306" s="7">
        <f t="shared" si="163"/>
        <v>0.75801793016922059</v>
      </c>
      <c r="N306" s="6">
        <f t="shared" si="164"/>
        <v>-0.14999999999999997</v>
      </c>
      <c r="O306" s="32">
        <f t="shared" si="165"/>
        <v>-0.37941299757122093</v>
      </c>
      <c r="P306" s="7">
        <f t="shared" si="166"/>
        <v>0.10476785969642483</v>
      </c>
      <c r="Q306" s="7" t="str">
        <f t="shared" si="167"/>
        <v>PASS</v>
      </c>
    </row>
    <row r="307" spans="2:17">
      <c r="B307" s="12">
        <v>10</v>
      </c>
      <c r="C307" s="13">
        <f t="shared" si="156"/>
        <v>10</v>
      </c>
      <c r="D307" s="1"/>
      <c r="E307" s="12">
        <v>12</v>
      </c>
      <c r="F307" s="13">
        <f t="shared" si="157"/>
        <v>8</v>
      </c>
      <c r="G307" s="2"/>
      <c r="H307" s="6">
        <f t="shared" si="158"/>
        <v>0.5</v>
      </c>
      <c r="I307" s="32">
        <f t="shared" si="159"/>
        <v>0.32693094787634341</v>
      </c>
      <c r="J307" s="7">
        <f t="shared" si="160"/>
        <v>0.6730734530478506</v>
      </c>
      <c r="K307" s="6">
        <f t="shared" si="161"/>
        <v>0.6</v>
      </c>
      <c r="L307" s="32">
        <f t="shared" si="162"/>
        <v>0.41802343851820367</v>
      </c>
      <c r="M307" s="7">
        <f t="shared" si="163"/>
        <v>0.75801793016922059</v>
      </c>
      <c r="N307" s="6">
        <f t="shared" si="164"/>
        <v>-9.9999999999999978E-2</v>
      </c>
      <c r="O307" s="32">
        <f t="shared" si="165"/>
        <v>-0.33435563372350496</v>
      </c>
      <c r="P307" s="7">
        <f t="shared" si="166"/>
        <v>0.15113719174714951</v>
      </c>
      <c r="Q307" s="7" t="str">
        <f t="shared" si="167"/>
        <v>PASS</v>
      </c>
    </row>
    <row r="308" spans="2:17">
      <c r="B308" s="12">
        <v>11</v>
      </c>
      <c r="C308" s="13">
        <f t="shared" si="156"/>
        <v>9</v>
      </c>
      <c r="D308" s="1"/>
      <c r="E308" s="12">
        <v>12</v>
      </c>
      <c r="F308" s="13">
        <f t="shared" si="157"/>
        <v>8</v>
      </c>
      <c r="G308" s="2"/>
      <c r="H308" s="6">
        <f t="shared" si="158"/>
        <v>0.55000000000000004</v>
      </c>
      <c r="I308" s="32">
        <f t="shared" si="159"/>
        <v>0.37170355009739847</v>
      </c>
      <c r="J308" s="7">
        <f t="shared" si="160"/>
        <v>0.71631933470841069</v>
      </c>
      <c r="K308" s="6">
        <f t="shared" si="161"/>
        <v>0.6</v>
      </c>
      <c r="L308" s="32">
        <f t="shared" si="162"/>
        <v>0.41802343851820367</v>
      </c>
      <c r="M308" s="7">
        <f t="shared" si="163"/>
        <v>0.75801793016922059</v>
      </c>
      <c r="N308" s="6">
        <f t="shared" si="164"/>
        <v>-4.9999999999999933E-2</v>
      </c>
      <c r="O308" s="32">
        <f t="shared" si="165"/>
        <v>-0.28824208340013224</v>
      </c>
      <c r="P308" s="7">
        <f t="shared" si="166"/>
        <v>0.19653111370897255</v>
      </c>
      <c r="Q308" s="7" t="str">
        <f t="shared" si="167"/>
        <v>PASS</v>
      </c>
    </row>
    <row r="309" spans="2:17">
      <c r="B309" s="12">
        <v>12</v>
      </c>
      <c r="C309" s="13">
        <f t="shared" si="156"/>
        <v>8</v>
      </c>
      <c r="D309" s="1"/>
      <c r="E309" s="12">
        <v>12</v>
      </c>
      <c r="F309" s="13">
        <f t="shared" si="157"/>
        <v>8</v>
      </c>
      <c r="G309" s="2"/>
      <c r="H309" s="6">
        <f t="shared" si="158"/>
        <v>0.6</v>
      </c>
      <c r="I309" s="32">
        <f t="shared" si="159"/>
        <v>0.41802343851820367</v>
      </c>
      <c r="J309" s="7">
        <f t="shared" si="160"/>
        <v>0.75801793016922059</v>
      </c>
      <c r="K309" s="6">
        <f t="shared" si="161"/>
        <v>0.6</v>
      </c>
      <c r="L309" s="32">
        <f t="shared" si="162"/>
        <v>0.41802343851820367</v>
      </c>
      <c r="M309" s="7">
        <f t="shared" si="163"/>
        <v>0.75801793016922059</v>
      </c>
      <c r="N309" s="6">
        <f t="shared" si="164"/>
        <v>0</v>
      </c>
      <c r="O309" s="32">
        <f t="shared" si="165"/>
        <v>-0.24100857906660225</v>
      </c>
      <c r="P309" s="7">
        <f t="shared" si="166"/>
        <v>0.24100857906660225</v>
      </c>
      <c r="Q309" s="7" t="str">
        <f t="shared" si="167"/>
        <v>PASS</v>
      </c>
    </row>
    <row r="310" spans="2:17">
      <c r="B310" s="12">
        <v>13</v>
      </c>
      <c r="C310" s="13">
        <f t="shared" si="156"/>
        <v>7</v>
      </c>
      <c r="D310" s="1"/>
      <c r="E310" s="12">
        <v>12</v>
      </c>
      <c r="F310" s="13">
        <f t="shared" si="157"/>
        <v>8</v>
      </c>
      <c r="G310" s="2"/>
      <c r="H310" s="6">
        <f t="shared" si="158"/>
        <v>0.65</v>
      </c>
      <c r="I310" s="32">
        <f t="shared" si="159"/>
        <v>0.46595518412280768</v>
      </c>
      <c r="J310" s="7">
        <f t="shared" si="160"/>
        <v>0.79810466844623185</v>
      </c>
      <c r="K310" s="6">
        <f t="shared" si="161"/>
        <v>0.6</v>
      </c>
      <c r="L310" s="32">
        <f t="shared" si="162"/>
        <v>0.41802343851820367</v>
      </c>
      <c r="M310" s="7">
        <f t="shared" si="163"/>
        <v>0.75801793016922059</v>
      </c>
      <c r="N310" s="6">
        <f t="shared" si="164"/>
        <v>5.0000000000000044E-2</v>
      </c>
      <c r="O310" s="32">
        <f t="shared" si="165"/>
        <v>-0.1925740309807179</v>
      </c>
      <c r="P310" s="7">
        <f t="shared" si="166"/>
        <v>0.28462834812593785</v>
      </c>
      <c r="Q310" s="7" t="str">
        <f t="shared" si="167"/>
        <v>PASS</v>
      </c>
    </row>
    <row r="311" spans="2:17">
      <c r="B311" s="12">
        <v>14</v>
      </c>
      <c r="C311" s="13">
        <f t="shared" si="156"/>
        <v>6</v>
      </c>
      <c r="D311" s="1"/>
      <c r="E311" s="12">
        <v>12</v>
      </c>
      <c r="F311" s="13">
        <f t="shared" si="157"/>
        <v>8</v>
      </c>
      <c r="G311" s="2"/>
      <c r="H311" s="6">
        <f t="shared" si="158"/>
        <v>0.7</v>
      </c>
      <c r="I311" s="32">
        <f t="shared" si="159"/>
        <v>0.51561697855622868</v>
      </c>
      <c r="J311" s="7">
        <f t="shared" si="160"/>
        <v>0.83646135789442599</v>
      </c>
      <c r="K311" s="6">
        <f t="shared" si="161"/>
        <v>0.6</v>
      </c>
      <c r="L311" s="32">
        <f t="shared" si="162"/>
        <v>0.41802343851820367</v>
      </c>
      <c r="M311" s="7">
        <f t="shared" si="163"/>
        <v>0.75801793016922059</v>
      </c>
      <c r="N311" s="6">
        <f t="shared" si="164"/>
        <v>9.9999999999999978E-2</v>
      </c>
      <c r="O311" s="32">
        <f t="shared" si="165"/>
        <v>-0.14283073292254198</v>
      </c>
      <c r="P311" s="7">
        <f t="shared" si="166"/>
        <v>0.3274580645462557</v>
      </c>
      <c r="Q311" s="7" t="str">
        <f t="shared" si="167"/>
        <v>PASS</v>
      </c>
    </row>
    <row r="312" spans="2:17">
      <c r="B312" s="12">
        <v>15</v>
      </c>
      <c r="C312" s="13">
        <f t="shared" si="156"/>
        <v>5</v>
      </c>
      <c r="D312" s="1"/>
      <c r="E312" s="12">
        <v>12</v>
      </c>
      <c r="F312" s="13">
        <f t="shared" si="157"/>
        <v>8</v>
      </c>
      <c r="G312" s="2"/>
      <c r="H312" s="6">
        <f t="shared" si="158"/>
        <v>0.75</v>
      </c>
      <c r="I312" s="32">
        <f t="shared" si="159"/>
        <v>0.56720064128904046</v>
      </c>
      <c r="J312" s="7">
        <f t="shared" si="160"/>
        <v>0.87289617904322925</v>
      </c>
      <c r="K312" s="6">
        <f t="shared" si="161"/>
        <v>0.6</v>
      </c>
      <c r="L312" s="32">
        <f t="shared" si="162"/>
        <v>0.41802343851820367</v>
      </c>
      <c r="M312" s="7">
        <f t="shared" si="163"/>
        <v>0.75801793016922059</v>
      </c>
      <c r="N312" s="6">
        <f t="shared" si="164"/>
        <v>0.15000000000000002</v>
      </c>
      <c r="O312" s="32">
        <f t="shared" si="165"/>
        <v>-9.163044468796297E-2</v>
      </c>
      <c r="P312" s="7">
        <f t="shared" si="166"/>
        <v>0.36958811386813145</v>
      </c>
      <c r="Q312" s="7" t="str">
        <f t="shared" si="167"/>
        <v>PASS</v>
      </c>
    </row>
    <row r="313" spans="2:17">
      <c r="B313" s="12">
        <v>16</v>
      </c>
      <c r="C313" s="13">
        <f t="shared" si="156"/>
        <v>4</v>
      </c>
      <c r="D313" s="1"/>
      <c r="E313" s="12">
        <v>12</v>
      </c>
      <c r="F313" s="13">
        <f t="shared" si="157"/>
        <v>8</v>
      </c>
      <c r="G313" s="2"/>
      <c r="H313" s="6">
        <f t="shared" si="158"/>
        <v>0.8</v>
      </c>
      <c r="I313" s="32">
        <f t="shared" si="159"/>
        <v>0.62101114036509186</v>
      </c>
      <c r="J313" s="7">
        <f t="shared" si="160"/>
        <v>0.907104163848793</v>
      </c>
      <c r="K313" s="6">
        <f t="shared" si="161"/>
        <v>0.6</v>
      </c>
      <c r="L313" s="32">
        <f t="shared" si="162"/>
        <v>0.41802343851820367</v>
      </c>
      <c r="M313" s="7">
        <f t="shared" si="163"/>
        <v>0.75801793016922059</v>
      </c>
      <c r="N313" s="6">
        <f t="shared" si="164"/>
        <v>0.20000000000000007</v>
      </c>
      <c r="O313" s="32">
        <f t="shared" si="165"/>
        <v>-3.8760713117484052E-2</v>
      </c>
      <c r="P313" s="7">
        <f t="shared" si="166"/>
        <v>0.41115579755831266</v>
      </c>
      <c r="Q313" s="7" t="str">
        <f t="shared" si="167"/>
        <v>PASS</v>
      </c>
    </row>
    <row r="314" spans="2:17">
      <c r="B314" s="12">
        <v>17</v>
      </c>
      <c r="C314" s="13">
        <f t="shared" si="156"/>
        <v>3</v>
      </c>
      <c r="D314" s="1"/>
      <c r="E314" s="12">
        <v>12</v>
      </c>
      <c r="F314" s="13">
        <f t="shared" si="157"/>
        <v>8</v>
      </c>
      <c r="G314" s="2"/>
      <c r="H314" s="6">
        <f t="shared" si="158"/>
        <v>0.85</v>
      </c>
      <c r="I314" s="32">
        <f t="shared" si="159"/>
        <v>0.67754918969065736</v>
      </c>
      <c r="J314" s="7">
        <f t="shared" si="160"/>
        <v>0.93858459840484276</v>
      </c>
      <c r="K314" s="6">
        <f t="shared" si="161"/>
        <v>0.6</v>
      </c>
      <c r="L314" s="32">
        <f t="shared" si="162"/>
        <v>0.41802343851820367</v>
      </c>
      <c r="M314" s="7">
        <f t="shared" si="163"/>
        <v>0.75801793016922059</v>
      </c>
      <c r="N314" s="6">
        <f t="shared" si="164"/>
        <v>0.25</v>
      </c>
      <c r="O314" s="32">
        <f t="shared" si="165"/>
        <v>1.6100559574603629E-2</v>
      </c>
      <c r="P314" s="7">
        <f t="shared" si="166"/>
        <v>0.4523924405784101</v>
      </c>
      <c r="Q314" s="7" t="str">
        <f t="shared" si="167"/>
        <v>FAIL</v>
      </c>
    </row>
    <row r="315" spans="2:17">
      <c r="B315" s="12">
        <v>18</v>
      </c>
      <c r="C315" s="13">
        <f t="shared" si="156"/>
        <v>2</v>
      </c>
      <c r="D315" s="1"/>
      <c r="E315" s="12">
        <v>12</v>
      </c>
      <c r="F315" s="13">
        <f t="shared" si="157"/>
        <v>8</v>
      </c>
      <c r="G315" s="2"/>
      <c r="H315" s="6">
        <f t="shared" si="158"/>
        <v>0.9</v>
      </c>
      <c r="I315" s="32">
        <f t="shared" si="159"/>
        <v>0.7377076948078376</v>
      </c>
      <c r="J315" s="7">
        <f t="shared" si="160"/>
        <v>0.96644457716927756</v>
      </c>
      <c r="K315" s="6">
        <f t="shared" si="161"/>
        <v>0.6</v>
      </c>
      <c r="L315" s="32">
        <f t="shared" si="162"/>
        <v>0.41802343851820367</v>
      </c>
      <c r="M315" s="7">
        <f t="shared" si="163"/>
        <v>0.75801793016922059</v>
      </c>
      <c r="N315" s="6">
        <f t="shared" si="164"/>
        <v>0.30000000000000004</v>
      </c>
      <c r="O315" s="32">
        <f t="shared" si="165"/>
        <v>7.3486294941011027E-2</v>
      </c>
      <c r="P315" s="7">
        <f t="shared" si="166"/>
        <v>0.49372751679599386</v>
      </c>
      <c r="Q315" s="7" t="str">
        <f t="shared" si="167"/>
        <v>FAIL</v>
      </c>
    </row>
    <row r="316" spans="2:17">
      <c r="B316" s="12">
        <v>19</v>
      </c>
      <c r="C316" s="13">
        <f t="shared" si="156"/>
        <v>1</v>
      </c>
      <c r="D316" s="1"/>
      <c r="E316" s="12">
        <v>12</v>
      </c>
      <c r="F316" s="13">
        <f t="shared" si="157"/>
        <v>8</v>
      </c>
      <c r="G316" s="2"/>
      <c r="H316" s="6">
        <f t="shared" si="158"/>
        <v>0.95</v>
      </c>
      <c r="I316" s="32">
        <f t="shared" si="159"/>
        <v>0.80335937249454403</v>
      </c>
      <c r="J316" s="7">
        <f t="shared" si="160"/>
        <v>0.98881138336418628</v>
      </c>
      <c r="K316" s="6">
        <f t="shared" si="161"/>
        <v>0.6</v>
      </c>
      <c r="L316" s="32">
        <f t="shared" si="162"/>
        <v>0.41802343851820367</v>
      </c>
      <c r="M316" s="7">
        <f t="shared" si="163"/>
        <v>0.75801793016922059</v>
      </c>
      <c r="N316" s="6">
        <f t="shared" si="164"/>
        <v>0.35</v>
      </c>
      <c r="O316" s="32">
        <f t="shared" si="165"/>
        <v>0.1344237028563702</v>
      </c>
      <c r="P316" s="7">
        <f t="shared" si="166"/>
        <v>0.53606932151050535</v>
      </c>
      <c r="Q316" s="7" t="str">
        <f t="shared" si="167"/>
        <v>FAIL</v>
      </c>
    </row>
    <row r="317" spans="2:17" ht="15" thickBot="1">
      <c r="B317" s="15">
        <v>20</v>
      </c>
      <c r="C317" s="14">
        <f t="shared" si="156"/>
        <v>0</v>
      </c>
      <c r="D317" s="1"/>
      <c r="E317" s="15">
        <v>12</v>
      </c>
      <c r="F317" s="14">
        <f t="shared" si="157"/>
        <v>8</v>
      </c>
      <c r="G317" s="2"/>
      <c r="H317" s="8">
        <f t="shared" si="158"/>
        <v>1</v>
      </c>
      <c r="I317" s="16">
        <f t="shared" si="159"/>
        <v>0.88018813951940023</v>
      </c>
      <c r="J317" s="9">
        <f t="shared" si="160"/>
        <v>1.0000011002209452</v>
      </c>
      <c r="K317" s="8">
        <f t="shared" si="161"/>
        <v>0.6</v>
      </c>
      <c r="L317" s="16">
        <f t="shared" si="162"/>
        <v>0.41802343851820367</v>
      </c>
      <c r="M317" s="9">
        <f t="shared" si="163"/>
        <v>0.75801793016922059</v>
      </c>
      <c r="N317" s="8">
        <f t="shared" si="164"/>
        <v>0.4</v>
      </c>
      <c r="O317" s="16">
        <f t="shared" si="165"/>
        <v>0.20169581908898798</v>
      </c>
      <c r="P317" s="9">
        <f t="shared" si="166"/>
        <v>0.58197656148512222</v>
      </c>
      <c r="Q317" s="9" t="str">
        <f t="shared" si="167"/>
        <v>FAIL</v>
      </c>
    </row>
    <row r="318" spans="2:17" ht="15" thickBot="1"/>
    <row r="319" spans="2:17">
      <c r="B319" s="3">
        <v>0</v>
      </c>
      <c r="C319" s="11">
        <f>20-B319</f>
        <v>20</v>
      </c>
      <c r="D319" s="1"/>
      <c r="E319" s="3">
        <v>13</v>
      </c>
      <c r="F319" s="11">
        <f>20-E319</f>
        <v>7</v>
      </c>
      <c r="G319" s="2"/>
      <c r="H319" s="5">
        <f>B319/SUM(B319:C319)</f>
        <v>0</v>
      </c>
      <c r="I319" s="41">
        <f>((B319+1.3613)-(1.65*SQRT(B319-(B319^2/SUM(B319:C319))+0.6806)))/(SUM(B319:C319)+2.7225)</f>
        <v>3.3007032488877747E-6</v>
      </c>
      <c r="J319" s="4">
        <f>((B319+1.3613)+(1.65*SQRT(B319-(B319^2/SUM(B319:C319))+0.6806)))/(SUM(B319:C319)+2.7225)</f>
        <v>0.1198162614047938</v>
      </c>
      <c r="K319" s="5">
        <f>E319/SUM(E319:F319)</f>
        <v>0.65</v>
      </c>
      <c r="L319" s="41">
        <f>((E319+1.3613)-(1.65*SQRT(E319-(E319^2/SUM(E319:F319))+0.6806)))/(SUM(E319:F319)+2.7225)</f>
        <v>0.46595518412280768</v>
      </c>
      <c r="M319" s="4">
        <f>((E319+1.3613)+(1.65*SQRT(E319-(E319^2/SUM(E319:F319))+0.6806)))/(SUM(E319:F319)+2.7225)</f>
        <v>0.79810466844623185</v>
      </c>
      <c r="N319" s="5">
        <f>H319-K319</f>
        <v>-0.65</v>
      </c>
      <c r="O319" s="41">
        <f>N319-SQRT((H319-I319)^2+(K319-M319)^2)</f>
        <v>-0.79810466848301209</v>
      </c>
      <c r="P319" s="4">
        <f>N319+SQRT((H319-J319)^2+(K319-L319)^2)</f>
        <v>-0.43039027628929655</v>
      </c>
      <c r="Q319" s="4" t="str">
        <f>IF(O319*P319&lt;0,"PASS","FAIL")</f>
        <v>FAIL</v>
      </c>
    </row>
    <row r="320" spans="2:17">
      <c r="B320" s="12">
        <v>1</v>
      </c>
      <c r="C320" s="13">
        <f t="shared" ref="C320:C339" si="168">20-B320</f>
        <v>19</v>
      </c>
      <c r="D320" s="1"/>
      <c r="E320" s="12">
        <v>13</v>
      </c>
      <c r="F320" s="13">
        <f t="shared" ref="F320:F339" si="169">20-E320</f>
        <v>7</v>
      </c>
      <c r="G320" s="2"/>
      <c r="H320" s="6">
        <f t="shared" ref="H320:H339" si="170">B320/SUM(B320:C320)</f>
        <v>0.05</v>
      </c>
      <c r="I320" s="32">
        <f t="shared" ref="I320:I339" si="171">((B320+1.3613)-(1.65*SQRT(B320-(B320^2/SUM(B320:C320))+0.6806)))/(SUM(B320:C320)+2.7225)</f>
        <v>1.1193017560007713E-2</v>
      </c>
      <c r="J320" s="7">
        <f t="shared" ref="J320:J339" si="172">((B320+1.3613)+(1.65*SQRT(B320-(B320^2/SUM(B320:C320))+0.6806)))/(SUM(B320:C320)+2.7225)</f>
        <v>0.19664502842965012</v>
      </c>
      <c r="K320" s="6">
        <f t="shared" ref="K320:K339" si="173">E320/SUM(E320:F320)</f>
        <v>0.65</v>
      </c>
      <c r="L320" s="32">
        <f t="shared" ref="L320:L339" si="174">((E320+1.3613)-(1.65*SQRT(E320-(E320^2/SUM(E320:F320))+0.6806)))/(SUM(E320:F320)+2.7225)</f>
        <v>0.46595518412280768</v>
      </c>
      <c r="M320" s="7">
        <f t="shared" ref="M320:M339" si="175">((E320+1.3613)+(1.65*SQRT(E320-(E320^2/SUM(E320:F320))+0.6806)))/(SUM(E320:F320)+2.7225)</f>
        <v>0.79810466844623185</v>
      </c>
      <c r="N320" s="6">
        <f t="shared" ref="N320:N339" si="176">H320-K320</f>
        <v>-0.6</v>
      </c>
      <c r="O320" s="32">
        <f t="shared" ref="O320:O339" si="177">N320-SQRT((H320-I320)^2+(K320-M320)^2)</f>
        <v>-0.75310445683149174</v>
      </c>
      <c r="P320" s="7">
        <f t="shared" ref="P320:P339" si="178">N320+SQRT((H320-J320)^2+(K320-L320)^2)</f>
        <v>-0.36467626848445028</v>
      </c>
      <c r="Q320" s="7" t="str">
        <f t="shared" ref="Q320:Q339" si="179">IF(O320*P320&lt;0,"PASS","FAIL")</f>
        <v>FAIL</v>
      </c>
    </row>
    <row r="321" spans="2:17">
      <c r="B321" s="12">
        <v>2</v>
      </c>
      <c r="C321" s="13">
        <f t="shared" si="168"/>
        <v>18</v>
      </c>
      <c r="D321" s="1"/>
      <c r="E321" s="12">
        <v>13</v>
      </c>
      <c r="F321" s="13">
        <f t="shared" si="169"/>
        <v>7</v>
      </c>
      <c r="G321" s="2"/>
      <c r="H321" s="6">
        <f t="shared" si="170"/>
        <v>0.1</v>
      </c>
      <c r="I321" s="32">
        <f t="shared" si="171"/>
        <v>3.3559823754916465E-2</v>
      </c>
      <c r="J321" s="7">
        <f t="shared" si="172"/>
        <v>0.26229670611635653</v>
      </c>
      <c r="K321" s="6">
        <f t="shared" si="173"/>
        <v>0.65</v>
      </c>
      <c r="L321" s="32">
        <f t="shared" si="174"/>
        <v>0.46595518412280768</v>
      </c>
      <c r="M321" s="7">
        <f t="shared" si="175"/>
        <v>0.79810466844623185</v>
      </c>
      <c r="N321" s="6">
        <f t="shared" si="176"/>
        <v>-0.55000000000000004</v>
      </c>
      <c r="O321" s="32">
        <f t="shared" si="177"/>
        <v>-0.71232464333873047</v>
      </c>
      <c r="P321" s="7">
        <f t="shared" si="178"/>
        <v>-0.30461720706722606</v>
      </c>
      <c r="Q321" s="7" t="str">
        <f t="shared" si="179"/>
        <v>FAIL</v>
      </c>
    </row>
    <row r="322" spans="2:17">
      <c r="B322" s="12">
        <v>3</v>
      </c>
      <c r="C322" s="13">
        <f t="shared" si="168"/>
        <v>17</v>
      </c>
      <c r="D322" s="1"/>
      <c r="E322" s="12">
        <v>13</v>
      </c>
      <c r="F322" s="13">
        <f t="shared" si="169"/>
        <v>7</v>
      </c>
      <c r="G322" s="2"/>
      <c r="H322" s="6">
        <f t="shared" si="170"/>
        <v>0.15</v>
      </c>
      <c r="I322" s="32">
        <f t="shared" si="171"/>
        <v>6.1419802519351356E-2</v>
      </c>
      <c r="J322" s="7">
        <f t="shared" si="172"/>
        <v>0.32245521123353676</v>
      </c>
      <c r="K322" s="6">
        <f t="shared" si="173"/>
        <v>0.65</v>
      </c>
      <c r="L322" s="32">
        <f t="shared" si="174"/>
        <v>0.46595518412280768</v>
      </c>
      <c r="M322" s="7">
        <f t="shared" si="175"/>
        <v>0.79810466844623185</v>
      </c>
      <c r="N322" s="6">
        <f t="shared" si="176"/>
        <v>-0.5</v>
      </c>
      <c r="O322" s="32">
        <f t="shared" si="177"/>
        <v>-0.67257301121924873</v>
      </c>
      <c r="P322" s="7">
        <f t="shared" si="178"/>
        <v>-0.24778323978594635</v>
      </c>
      <c r="Q322" s="7" t="str">
        <f t="shared" si="179"/>
        <v>FAIL</v>
      </c>
    </row>
    <row r="323" spans="2:17">
      <c r="B323" s="12">
        <v>4</v>
      </c>
      <c r="C323" s="13">
        <f t="shared" si="168"/>
        <v>16</v>
      </c>
      <c r="D323" s="1"/>
      <c r="E323" s="12">
        <v>13</v>
      </c>
      <c r="F323" s="13">
        <f t="shared" si="169"/>
        <v>7</v>
      </c>
      <c r="G323" s="2"/>
      <c r="H323" s="6">
        <f t="shared" si="170"/>
        <v>0.2</v>
      </c>
      <c r="I323" s="32">
        <f t="shared" si="171"/>
        <v>9.2900237075401015E-2</v>
      </c>
      <c r="J323" s="7">
        <f t="shared" si="172"/>
        <v>0.37899326055910226</v>
      </c>
      <c r="K323" s="6">
        <f t="shared" si="173"/>
        <v>0.65</v>
      </c>
      <c r="L323" s="32">
        <f t="shared" si="174"/>
        <v>0.46595518412280768</v>
      </c>
      <c r="M323" s="7">
        <f t="shared" si="175"/>
        <v>0.79810466844623185</v>
      </c>
      <c r="N323" s="6">
        <f t="shared" si="176"/>
        <v>-0.45</v>
      </c>
      <c r="O323" s="32">
        <f t="shared" si="177"/>
        <v>-0.63277131075218995</v>
      </c>
      <c r="P323" s="7">
        <f t="shared" si="178"/>
        <v>-0.19326846400013825</v>
      </c>
      <c r="Q323" s="7" t="str">
        <f t="shared" si="179"/>
        <v>FAIL</v>
      </c>
    </row>
    <row r="324" spans="2:17">
      <c r="B324" s="12">
        <v>5</v>
      </c>
      <c r="C324" s="13">
        <f t="shared" si="168"/>
        <v>15</v>
      </c>
      <c r="D324" s="1"/>
      <c r="E324" s="12">
        <v>13</v>
      </c>
      <c r="F324" s="13">
        <f t="shared" si="169"/>
        <v>7</v>
      </c>
      <c r="G324" s="2"/>
      <c r="H324" s="6">
        <f t="shared" si="170"/>
        <v>0.25</v>
      </c>
      <c r="I324" s="32">
        <f t="shared" si="171"/>
        <v>0.12710822188096477</v>
      </c>
      <c r="J324" s="7">
        <f t="shared" si="172"/>
        <v>0.43280375963515361</v>
      </c>
      <c r="K324" s="6">
        <f t="shared" si="173"/>
        <v>0.65</v>
      </c>
      <c r="L324" s="32">
        <f t="shared" si="174"/>
        <v>0.46595518412280768</v>
      </c>
      <c r="M324" s="7">
        <f t="shared" si="175"/>
        <v>0.79810466844623185</v>
      </c>
      <c r="N324" s="6">
        <f t="shared" si="176"/>
        <v>-0.4</v>
      </c>
      <c r="O324" s="32">
        <f t="shared" si="177"/>
        <v>-0.59245098582451183</v>
      </c>
      <c r="P324" s="7">
        <f t="shared" si="178"/>
        <v>-0.1405974001903284</v>
      </c>
      <c r="Q324" s="7" t="str">
        <f t="shared" si="179"/>
        <v>FAIL</v>
      </c>
    </row>
    <row r="325" spans="2:17">
      <c r="B325" s="12">
        <v>6</v>
      </c>
      <c r="C325" s="13">
        <f t="shared" si="168"/>
        <v>14</v>
      </c>
      <c r="D325" s="1"/>
      <c r="E325" s="12">
        <v>13</v>
      </c>
      <c r="F325" s="13">
        <f t="shared" si="169"/>
        <v>7</v>
      </c>
      <c r="G325" s="2"/>
      <c r="H325" s="6">
        <f t="shared" si="170"/>
        <v>0.3</v>
      </c>
      <c r="I325" s="32">
        <f t="shared" si="171"/>
        <v>0.16354304302976813</v>
      </c>
      <c r="J325" s="7">
        <f t="shared" si="172"/>
        <v>0.48438742236796539</v>
      </c>
      <c r="K325" s="6">
        <f t="shared" si="173"/>
        <v>0.65</v>
      </c>
      <c r="L325" s="32">
        <f t="shared" si="174"/>
        <v>0.46595518412280768</v>
      </c>
      <c r="M325" s="7">
        <f t="shared" si="175"/>
        <v>0.79810466844623185</v>
      </c>
      <c r="N325" s="6">
        <f t="shared" si="176"/>
        <v>-0.35000000000000003</v>
      </c>
      <c r="O325" s="32">
        <f t="shared" si="177"/>
        <v>-0.5513839465328455</v>
      </c>
      <c r="P325" s="7">
        <f t="shared" si="178"/>
        <v>-8.9478953290195617E-2</v>
      </c>
      <c r="Q325" s="7" t="str">
        <f t="shared" si="179"/>
        <v>FAIL</v>
      </c>
    </row>
    <row r="326" spans="2:17">
      <c r="B326" s="12">
        <v>7</v>
      </c>
      <c r="C326" s="13">
        <f t="shared" si="168"/>
        <v>13</v>
      </c>
      <c r="D326" s="1"/>
      <c r="E326" s="12">
        <v>13</v>
      </c>
      <c r="F326" s="13">
        <f t="shared" si="169"/>
        <v>7</v>
      </c>
      <c r="G326" s="2"/>
      <c r="H326" s="6">
        <f t="shared" si="170"/>
        <v>0.35</v>
      </c>
      <c r="I326" s="32">
        <f t="shared" si="171"/>
        <v>0.20189973247796225</v>
      </c>
      <c r="J326" s="7">
        <f t="shared" si="172"/>
        <v>0.53404921680138639</v>
      </c>
      <c r="K326" s="6">
        <f t="shared" si="173"/>
        <v>0.65</v>
      </c>
      <c r="L326" s="32">
        <f t="shared" si="174"/>
        <v>0.46595518412280768</v>
      </c>
      <c r="M326" s="7">
        <f t="shared" si="175"/>
        <v>0.79810466844623185</v>
      </c>
      <c r="N326" s="6">
        <f t="shared" si="176"/>
        <v>-0.30000000000000004</v>
      </c>
      <c r="O326" s="32">
        <f t="shared" si="177"/>
        <v>-0.50944851886720854</v>
      </c>
      <c r="P326" s="7">
        <f t="shared" si="178"/>
        <v>-3.9718213360071308E-2</v>
      </c>
      <c r="Q326" s="7" t="str">
        <f t="shared" si="179"/>
        <v>FAIL</v>
      </c>
    </row>
    <row r="327" spans="2:17">
      <c r="B327" s="12">
        <v>8</v>
      </c>
      <c r="C327" s="13">
        <f t="shared" si="168"/>
        <v>12</v>
      </c>
      <c r="D327" s="1"/>
      <c r="E327" s="12">
        <v>13</v>
      </c>
      <c r="F327" s="13">
        <f t="shared" si="169"/>
        <v>7</v>
      </c>
      <c r="G327" s="2"/>
      <c r="H327" s="6">
        <f t="shared" si="170"/>
        <v>0.4</v>
      </c>
      <c r="I327" s="32">
        <f t="shared" si="171"/>
        <v>0.24198647075497337</v>
      </c>
      <c r="J327" s="7">
        <f t="shared" si="172"/>
        <v>0.5819809624059904</v>
      </c>
      <c r="K327" s="6">
        <f t="shared" si="173"/>
        <v>0.65</v>
      </c>
      <c r="L327" s="32">
        <f t="shared" si="174"/>
        <v>0.46595518412280768</v>
      </c>
      <c r="M327" s="7">
        <f t="shared" si="175"/>
        <v>0.79810466844623185</v>
      </c>
      <c r="N327" s="6">
        <f t="shared" si="176"/>
        <v>-0.25</v>
      </c>
      <c r="O327" s="32">
        <f t="shared" si="177"/>
        <v>-0.46657162381077799</v>
      </c>
      <c r="P327" s="7">
        <f t="shared" si="178"/>
        <v>8.8234242287202891E-3</v>
      </c>
      <c r="Q327" s="7" t="str">
        <f t="shared" si="179"/>
        <v>PASS</v>
      </c>
    </row>
    <row r="328" spans="2:17">
      <c r="B328" s="12">
        <v>9</v>
      </c>
      <c r="C328" s="13">
        <f t="shared" si="168"/>
        <v>11</v>
      </c>
      <c r="D328" s="1"/>
      <c r="E328" s="12">
        <v>13</v>
      </c>
      <c r="F328" s="13">
        <f t="shared" si="169"/>
        <v>7</v>
      </c>
      <c r="G328" s="2"/>
      <c r="H328" s="6">
        <f t="shared" si="170"/>
        <v>0.45</v>
      </c>
      <c r="I328" s="32">
        <f t="shared" si="171"/>
        <v>0.28368506621578338</v>
      </c>
      <c r="J328" s="7">
        <f t="shared" si="172"/>
        <v>0.62830085082679554</v>
      </c>
      <c r="K328" s="6">
        <f t="shared" si="173"/>
        <v>0.65</v>
      </c>
      <c r="L328" s="32">
        <f t="shared" si="174"/>
        <v>0.46595518412280768</v>
      </c>
      <c r="M328" s="7">
        <f t="shared" si="175"/>
        <v>0.79810466844623185</v>
      </c>
      <c r="N328" s="6">
        <f t="shared" si="176"/>
        <v>-0.2</v>
      </c>
      <c r="O328" s="32">
        <f t="shared" si="177"/>
        <v>-0.42270080829493328</v>
      </c>
      <c r="P328" s="7">
        <f t="shared" si="178"/>
        <v>5.6249268597646562E-2</v>
      </c>
      <c r="Q328" s="7" t="str">
        <f t="shared" si="179"/>
        <v>PASS</v>
      </c>
    </row>
    <row r="329" spans="2:17">
      <c r="B329" s="12">
        <v>10</v>
      </c>
      <c r="C329" s="13">
        <f t="shared" si="168"/>
        <v>10</v>
      </c>
      <c r="D329" s="1"/>
      <c r="E329" s="12">
        <v>13</v>
      </c>
      <c r="F329" s="13">
        <f t="shared" si="169"/>
        <v>7</v>
      </c>
      <c r="G329" s="2"/>
      <c r="H329" s="6">
        <f t="shared" si="170"/>
        <v>0.5</v>
      </c>
      <c r="I329" s="32">
        <f t="shared" si="171"/>
        <v>0.32693094787634341</v>
      </c>
      <c r="J329" s="7">
        <f t="shared" si="172"/>
        <v>0.6730734530478506</v>
      </c>
      <c r="K329" s="6">
        <f t="shared" si="173"/>
        <v>0.65</v>
      </c>
      <c r="L329" s="32">
        <f t="shared" si="174"/>
        <v>0.46595518412280768</v>
      </c>
      <c r="M329" s="7">
        <f t="shared" si="175"/>
        <v>0.79810466844623185</v>
      </c>
      <c r="N329" s="6">
        <f t="shared" si="176"/>
        <v>-0.15000000000000002</v>
      </c>
      <c r="O329" s="32">
        <f t="shared" si="177"/>
        <v>-0.37778913410992465</v>
      </c>
      <c r="P329" s="7">
        <f t="shared" si="178"/>
        <v>0.10263989075594571</v>
      </c>
      <c r="Q329" s="7" t="str">
        <f t="shared" si="179"/>
        <v>PASS</v>
      </c>
    </row>
    <row r="330" spans="2:17">
      <c r="B330" s="12">
        <v>11</v>
      </c>
      <c r="C330" s="13">
        <f t="shared" si="168"/>
        <v>9</v>
      </c>
      <c r="D330" s="1"/>
      <c r="E330" s="12">
        <v>13</v>
      </c>
      <c r="F330" s="13">
        <f t="shared" si="169"/>
        <v>7</v>
      </c>
      <c r="G330" s="2"/>
      <c r="H330" s="6">
        <f t="shared" si="170"/>
        <v>0.55000000000000004</v>
      </c>
      <c r="I330" s="32">
        <f t="shared" si="171"/>
        <v>0.37170355009739847</v>
      </c>
      <c r="J330" s="7">
        <f t="shared" si="172"/>
        <v>0.71631933470841069</v>
      </c>
      <c r="K330" s="6">
        <f t="shared" si="173"/>
        <v>0.65</v>
      </c>
      <c r="L330" s="32">
        <f t="shared" si="174"/>
        <v>0.46595518412280768</v>
      </c>
      <c r="M330" s="7">
        <f t="shared" si="175"/>
        <v>0.79810466844623185</v>
      </c>
      <c r="N330" s="6">
        <f t="shared" si="176"/>
        <v>-9.9999999999999978E-2</v>
      </c>
      <c r="O330" s="32">
        <f t="shared" si="177"/>
        <v>-0.33178571324272588</v>
      </c>
      <c r="P330" s="7">
        <f t="shared" si="178"/>
        <v>0.14806171681482408</v>
      </c>
      <c r="Q330" s="7" t="str">
        <f t="shared" si="179"/>
        <v>PASS</v>
      </c>
    </row>
    <row r="331" spans="2:17">
      <c r="B331" s="12">
        <v>12</v>
      </c>
      <c r="C331" s="13">
        <f t="shared" si="168"/>
        <v>8</v>
      </c>
      <c r="D331" s="1"/>
      <c r="E331" s="12">
        <v>13</v>
      </c>
      <c r="F331" s="13">
        <f t="shared" si="169"/>
        <v>7</v>
      </c>
      <c r="G331" s="2"/>
      <c r="H331" s="6">
        <f t="shared" si="170"/>
        <v>0.6</v>
      </c>
      <c r="I331" s="32">
        <f t="shared" si="171"/>
        <v>0.41802343851820367</v>
      </c>
      <c r="J331" s="7">
        <f t="shared" si="172"/>
        <v>0.75801793016922059</v>
      </c>
      <c r="K331" s="6">
        <f t="shared" si="173"/>
        <v>0.65</v>
      </c>
      <c r="L331" s="32">
        <f t="shared" si="174"/>
        <v>0.46595518412280768</v>
      </c>
      <c r="M331" s="7">
        <f t="shared" si="175"/>
        <v>0.79810466844623185</v>
      </c>
      <c r="N331" s="6">
        <f t="shared" si="176"/>
        <v>-5.0000000000000044E-2</v>
      </c>
      <c r="O331" s="32">
        <f t="shared" si="177"/>
        <v>-0.28462834812593785</v>
      </c>
      <c r="P331" s="7">
        <f t="shared" si="178"/>
        <v>0.1925740309807179</v>
      </c>
      <c r="Q331" s="7" t="str">
        <f t="shared" si="179"/>
        <v>PASS</v>
      </c>
    </row>
    <row r="332" spans="2:17">
      <c r="B332" s="12">
        <v>13</v>
      </c>
      <c r="C332" s="13">
        <f t="shared" si="168"/>
        <v>7</v>
      </c>
      <c r="D332" s="1"/>
      <c r="E332" s="12">
        <v>13</v>
      </c>
      <c r="F332" s="13">
        <f t="shared" si="169"/>
        <v>7</v>
      </c>
      <c r="G332" s="2"/>
      <c r="H332" s="6">
        <f t="shared" si="170"/>
        <v>0.65</v>
      </c>
      <c r="I332" s="32">
        <f t="shared" si="171"/>
        <v>0.46595518412280768</v>
      </c>
      <c r="J332" s="7">
        <f t="shared" si="172"/>
        <v>0.79810466844623185</v>
      </c>
      <c r="K332" s="6">
        <f t="shared" si="173"/>
        <v>0.65</v>
      </c>
      <c r="L332" s="32">
        <f t="shared" si="174"/>
        <v>0.46595518412280768</v>
      </c>
      <c r="M332" s="7">
        <f t="shared" si="175"/>
        <v>0.79810466844623185</v>
      </c>
      <c r="N332" s="6">
        <f t="shared" si="176"/>
        <v>0</v>
      </c>
      <c r="O332" s="32">
        <f t="shared" si="177"/>
        <v>-0.23623608332944798</v>
      </c>
      <c r="P332" s="7">
        <f t="shared" si="178"/>
        <v>0.23623608332944798</v>
      </c>
      <c r="Q332" s="7" t="str">
        <f t="shared" si="179"/>
        <v>PASS</v>
      </c>
    </row>
    <row r="333" spans="2:17">
      <c r="B333" s="12">
        <v>14</v>
      </c>
      <c r="C333" s="13">
        <f t="shared" si="168"/>
        <v>6</v>
      </c>
      <c r="D333" s="1"/>
      <c r="E333" s="12">
        <v>13</v>
      </c>
      <c r="F333" s="13">
        <f t="shared" si="169"/>
        <v>7</v>
      </c>
      <c r="G333" s="2"/>
      <c r="H333" s="6">
        <f t="shared" si="170"/>
        <v>0.7</v>
      </c>
      <c r="I333" s="32">
        <f t="shared" si="171"/>
        <v>0.51561697855622868</v>
      </c>
      <c r="J333" s="7">
        <f t="shared" si="172"/>
        <v>0.83646135789442599</v>
      </c>
      <c r="K333" s="6">
        <f t="shared" si="173"/>
        <v>0.65</v>
      </c>
      <c r="L333" s="32">
        <f t="shared" si="174"/>
        <v>0.46595518412280768</v>
      </c>
      <c r="M333" s="7">
        <f t="shared" si="175"/>
        <v>0.79810466844623185</v>
      </c>
      <c r="N333" s="6">
        <f t="shared" si="176"/>
        <v>4.9999999999999933E-2</v>
      </c>
      <c r="O333" s="32">
        <f t="shared" si="177"/>
        <v>-0.18649966471921794</v>
      </c>
      <c r="P333" s="7">
        <f t="shared" si="178"/>
        <v>0.27911612001267005</v>
      </c>
      <c r="Q333" s="7" t="str">
        <f t="shared" si="179"/>
        <v>PASS</v>
      </c>
    </row>
    <row r="334" spans="2:17">
      <c r="B334" s="12">
        <v>15</v>
      </c>
      <c r="C334" s="13">
        <f t="shared" si="168"/>
        <v>5</v>
      </c>
      <c r="D334" s="1"/>
      <c r="E334" s="12">
        <v>13</v>
      </c>
      <c r="F334" s="13">
        <f t="shared" si="169"/>
        <v>7</v>
      </c>
      <c r="G334" s="2"/>
      <c r="H334" s="6">
        <f t="shared" si="170"/>
        <v>0.75</v>
      </c>
      <c r="I334" s="32">
        <f t="shared" si="171"/>
        <v>0.56720064128904046</v>
      </c>
      <c r="J334" s="7">
        <f t="shared" si="172"/>
        <v>0.87289617904322925</v>
      </c>
      <c r="K334" s="6">
        <f t="shared" si="173"/>
        <v>0.65</v>
      </c>
      <c r="L334" s="32">
        <f t="shared" si="174"/>
        <v>0.46595518412280768</v>
      </c>
      <c r="M334" s="7">
        <f t="shared" si="175"/>
        <v>0.79810466844623185</v>
      </c>
      <c r="N334" s="6">
        <f t="shared" si="176"/>
        <v>9.9999999999999978E-2</v>
      </c>
      <c r="O334" s="32">
        <f t="shared" si="177"/>
        <v>-0.1352670787864429</v>
      </c>
      <c r="P334" s="7">
        <f t="shared" si="178"/>
        <v>0.32130514019040562</v>
      </c>
      <c r="Q334" s="7" t="str">
        <f t="shared" si="179"/>
        <v>PASS</v>
      </c>
    </row>
    <row r="335" spans="2:17">
      <c r="B335" s="12">
        <v>16</v>
      </c>
      <c r="C335" s="13">
        <f t="shared" si="168"/>
        <v>4</v>
      </c>
      <c r="D335" s="1"/>
      <c r="E335" s="12">
        <v>13</v>
      </c>
      <c r="F335" s="13">
        <f t="shared" si="169"/>
        <v>7</v>
      </c>
      <c r="G335" s="2"/>
      <c r="H335" s="6">
        <f t="shared" si="170"/>
        <v>0.8</v>
      </c>
      <c r="I335" s="32">
        <f t="shared" si="171"/>
        <v>0.62101114036509186</v>
      </c>
      <c r="J335" s="7">
        <f t="shared" si="172"/>
        <v>0.907104163848793</v>
      </c>
      <c r="K335" s="6">
        <f t="shared" si="173"/>
        <v>0.65</v>
      </c>
      <c r="L335" s="32">
        <f t="shared" si="174"/>
        <v>0.46595518412280768</v>
      </c>
      <c r="M335" s="7">
        <f t="shared" si="175"/>
        <v>0.79810466844623185</v>
      </c>
      <c r="N335" s="6">
        <f t="shared" si="176"/>
        <v>0.15000000000000002</v>
      </c>
      <c r="O335" s="32">
        <f t="shared" si="177"/>
        <v>-8.2318756644772673E-2</v>
      </c>
      <c r="P335" s="7">
        <f t="shared" si="178"/>
        <v>0.362940827849003</v>
      </c>
      <c r="Q335" s="7" t="str">
        <f t="shared" si="179"/>
        <v>PASS</v>
      </c>
    </row>
    <row r="336" spans="2:17">
      <c r="B336" s="12">
        <v>17</v>
      </c>
      <c r="C336" s="13">
        <f t="shared" si="168"/>
        <v>3</v>
      </c>
      <c r="D336" s="1"/>
      <c r="E336" s="12">
        <v>13</v>
      </c>
      <c r="F336" s="13">
        <f t="shared" si="169"/>
        <v>7</v>
      </c>
      <c r="G336" s="2"/>
      <c r="H336" s="6">
        <f t="shared" si="170"/>
        <v>0.85</v>
      </c>
      <c r="I336" s="32">
        <f t="shared" si="171"/>
        <v>0.67754918969065736</v>
      </c>
      <c r="J336" s="7">
        <f t="shared" si="172"/>
        <v>0.93858459840484276</v>
      </c>
      <c r="K336" s="6">
        <f t="shared" si="173"/>
        <v>0.65</v>
      </c>
      <c r="L336" s="32">
        <f t="shared" si="174"/>
        <v>0.46595518412280768</v>
      </c>
      <c r="M336" s="7">
        <f t="shared" si="175"/>
        <v>0.79810466844623185</v>
      </c>
      <c r="N336" s="6">
        <f t="shared" si="176"/>
        <v>0.19999999999999996</v>
      </c>
      <c r="O336" s="32">
        <f t="shared" si="177"/>
        <v>-2.7319763311325712E-2</v>
      </c>
      <c r="P336" s="7">
        <f t="shared" si="178"/>
        <v>0.40425407052447426</v>
      </c>
      <c r="Q336" s="7" t="str">
        <f t="shared" si="179"/>
        <v>PASS</v>
      </c>
    </row>
    <row r="337" spans="2:17">
      <c r="B337" s="12">
        <v>18</v>
      </c>
      <c r="C337" s="13">
        <f t="shared" si="168"/>
        <v>2</v>
      </c>
      <c r="D337" s="1"/>
      <c r="E337" s="12">
        <v>13</v>
      </c>
      <c r="F337" s="13">
        <f t="shared" si="169"/>
        <v>7</v>
      </c>
      <c r="G337" s="2"/>
      <c r="H337" s="6">
        <f t="shared" si="170"/>
        <v>0.9</v>
      </c>
      <c r="I337" s="32">
        <f t="shared" si="171"/>
        <v>0.7377076948078376</v>
      </c>
      <c r="J337" s="7">
        <f t="shared" si="172"/>
        <v>0.96644457716927756</v>
      </c>
      <c r="K337" s="6">
        <f t="shared" si="173"/>
        <v>0.65</v>
      </c>
      <c r="L337" s="32">
        <f t="shared" si="174"/>
        <v>0.46595518412280768</v>
      </c>
      <c r="M337" s="7">
        <f t="shared" si="175"/>
        <v>0.79810466844623185</v>
      </c>
      <c r="N337" s="6">
        <f t="shared" si="176"/>
        <v>0.25</v>
      </c>
      <c r="O337" s="32">
        <f t="shared" si="177"/>
        <v>3.0287039207619243E-2</v>
      </c>
      <c r="P337" s="7">
        <f t="shared" si="178"/>
        <v>0.44567160265729344</v>
      </c>
      <c r="Q337" s="7" t="str">
        <f t="shared" si="179"/>
        <v>FAIL</v>
      </c>
    </row>
    <row r="338" spans="2:17">
      <c r="B338" s="12">
        <v>19</v>
      </c>
      <c r="C338" s="13">
        <f t="shared" si="168"/>
        <v>1</v>
      </c>
      <c r="D338" s="1"/>
      <c r="E338" s="12">
        <v>13</v>
      </c>
      <c r="F338" s="13">
        <f t="shared" si="169"/>
        <v>7</v>
      </c>
      <c r="G338" s="2"/>
      <c r="H338" s="6">
        <f t="shared" si="170"/>
        <v>0.95</v>
      </c>
      <c r="I338" s="32">
        <f t="shared" si="171"/>
        <v>0.80335937249454403</v>
      </c>
      <c r="J338" s="7">
        <f t="shared" si="172"/>
        <v>0.98881138336418628</v>
      </c>
      <c r="K338" s="6">
        <f t="shared" si="173"/>
        <v>0.65</v>
      </c>
      <c r="L338" s="32">
        <f t="shared" si="174"/>
        <v>0.46595518412280768</v>
      </c>
      <c r="M338" s="7">
        <f t="shared" si="175"/>
        <v>0.79810466844623185</v>
      </c>
      <c r="N338" s="6">
        <f t="shared" si="176"/>
        <v>0.29999999999999993</v>
      </c>
      <c r="O338" s="32">
        <f t="shared" si="177"/>
        <v>9.1581031451640288E-2</v>
      </c>
      <c r="P338" s="7">
        <f t="shared" si="178"/>
        <v>0.48809257755135221</v>
      </c>
      <c r="Q338" s="7" t="str">
        <f t="shared" si="179"/>
        <v>FAIL</v>
      </c>
    </row>
    <row r="339" spans="2:17" ht="15" thickBot="1">
      <c r="B339" s="15">
        <v>20</v>
      </c>
      <c r="C339" s="14">
        <f t="shared" si="168"/>
        <v>0</v>
      </c>
      <c r="D339" s="1"/>
      <c r="E339" s="15">
        <v>13</v>
      </c>
      <c r="F339" s="14">
        <f t="shared" si="169"/>
        <v>7</v>
      </c>
      <c r="G339" s="2"/>
      <c r="H339" s="8">
        <f t="shared" si="170"/>
        <v>1</v>
      </c>
      <c r="I339" s="16">
        <f t="shared" si="171"/>
        <v>0.88018813951940023</v>
      </c>
      <c r="J339" s="9">
        <f t="shared" si="172"/>
        <v>1.0000011002209452</v>
      </c>
      <c r="K339" s="8">
        <f t="shared" si="173"/>
        <v>0.65</v>
      </c>
      <c r="L339" s="16">
        <f t="shared" si="174"/>
        <v>0.46595518412280768</v>
      </c>
      <c r="M339" s="9">
        <f t="shared" si="175"/>
        <v>0.79810466844623185</v>
      </c>
      <c r="N339" s="8">
        <f t="shared" si="176"/>
        <v>0.35</v>
      </c>
      <c r="O339" s="16">
        <f t="shared" si="177"/>
        <v>0.15950098497002413</v>
      </c>
      <c r="P339" s="9">
        <f t="shared" si="178"/>
        <v>0.53404481588048092</v>
      </c>
      <c r="Q339" s="9" t="str">
        <f t="shared" si="179"/>
        <v>FAIL</v>
      </c>
    </row>
    <row r="340" spans="2:17" ht="15" thickBot="1"/>
    <row r="341" spans="2:17">
      <c r="B341" s="3">
        <v>0</v>
      </c>
      <c r="C341" s="11">
        <f>20-B341</f>
        <v>20</v>
      </c>
      <c r="D341" s="1"/>
      <c r="E341" s="3">
        <v>14</v>
      </c>
      <c r="F341" s="11">
        <f>20-E341</f>
        <v>6</v>
      </c>
      <c r="G341" s="2"/>
      <c r="H341" s="5">
        <f>B341/SUM(B341:C341)</f>
        <v>0</v>
      </c>
      <c r="I341" s="41">
        <f>((B341+1.3613)-(1.65*SQRT(B341-(B341^2/SUM(B341:C341))+0.6806)))/(SUM(B341:C341)+2.7225)</f>
        <v>3.3007032488877747E-6</v>
      </c>
      <c r="J341" s="4">
        <f>((B341+1.3613)+(1.65*SQRT(B341-(B341^2/SUM(B341:C341))+0.6806)))/(SUM(B341:C341)+2.7225)</f>
        <v>0.1198162614047938</v>
      </c>
      <c r="K341" s="5">
        <f>E341/SUM(E341:F341)</f>
        <v>0.7</v>
      </c>
      <c r="L341" s="41">
        <f>((E341+1.3613)-(1.65*SQRT(E341-(E341^2/SUM(E341:F341))+0.6806)))/(SUM(E341:F341)+2.7225)</f>
        <v>0.51561697855622868</v>
      </c>
      <c r="M341" s="4">
        <f>((E341+1.3613)+(1.65*SQRT(E341-(E341^2/SUM(E341:F341))+0.6806)))/(SUM(E341:F341)+2.7225)</f>
        <v>0.83646135789442599</v>
      </c>
      <c r="N341" s="5">
        <f>H341-K341</f>
        <v>-0.7</v>
      </c>
      <c r="O341" s="41">
        <f>N341-SQRT((H341-I341)^2+(K341-M341)^2)</f>
        <v>-0.8364613579343444</v>
      </c>
      <c r="P341" s="4">
        <f>N341+SQRT((H341-J341)^2+(K341-L341)^2)</f>
        <v>-0.4801067643292406</v>
      </c>
      <c r="Q341" s="4" t="str">
        <f>IF(O341*P341&lt;0,"PASS","FAIL")</f>
        <v>FAIL</v>
      </c>
    </row>
    <row r="342" spans="2:17">
      <c r="B342" s="12">
        <v>1</v>
      </c>
      <c r="C342" s="13">
        <f t="shared" ref="C342:C361" si="180">20-B342</f>
        <v>19</v>
      </c>
      <c r="D342" s="1"/>
      <c r="E342" s="12">
        <v>14</v>
      </c>
      <c r="F342" s="13">
        <f t="shared" ref="F342:F361" si="181">20-E342</f>
        <v>6</v>
      </c>
      <c r="G342" s="2"/>
      <c r="H342" s="6">
        <f t="shared" ref="H342:H361" si="182">B342/SUM(B342:C342)</f>
        <v>0.05</v>
      </c>
      <c r="I342" s="32">
        <f t="shared" ref="I342:I361" si="183">((B342+1.3613)-(1.65*SQRT(B342-(B342^2/SUM(B342:C342))+0.6806)))/(SUM(B342:C342)+2.7225)</f>
        <v>1.1193017560007713E-2</v>
      </c>
      <c r="J342" s="7">
        <f t="shared" ref="J342:J361" si="184">((B342+1.3613)+(1.65*SQRT(B342-(B342^2/SUM(B342:C342))+0.6806)))/(SUM(B342:C342)+2.7225)</f>
        <v>0.19664502842965012</v>
      </c>
      <c r="K342" s="6">
        <f t="shared" ref="K342:K361" si="185">E342/SUM(E342:F342)</f>
        <v>0.7</v>
      </c>
      <c r="L342" s="32">
        <f t="shared" ref="L342:L361" si="186">((E342+1.3613)-(1.65*SQRT(E342-(E342^2/SUM(E342:F342))+0.6806)))/(SUM(E342:F342)+2.7225)</f>
        <v>0.51561697855622868</v>
      </c>
      <c r="M342" s="7">
        <f t="shared" ref="M342:M361" si="187">((E342+1.3613)+(1.65*SQRT(E342-(E342^2/SUM(E342:F342))+0.6806)))/(SUM(E342:F342)+2.7225)</f>
        <v>0.83646135789442599</v>
      </c>
      <c r="N342" s="6">
        <f t="shared" ref="N342:N361" si="188">H342-K342</f>
        <v>-0.64999999999999991</v>
      </c>
      <c r="O342" s="32">
        <f t="shared" ref="O342:O361" si="189">N342-SQRT((H342-I342)^2+(K342-M342)^2)</f>
        <v>-0.79187206943048538</v>
      </c>
      <c r="P342" s="7">
        <f t="shared" ref="P342:P361" si="190">N342+SQRT((H342-J342)^2+(K342-L342)^2)</f>
        <v>-0.41441166633326865</v>
      </c>
      <c r="Q342" s="7" t="str">
        <f t="shared" ref="Q342:Q361" si="191">IF(O342*P342&lt;0,"PASS","FAIL")</f>
        <v>FAIL</v>
      </c>
    </row>
    <row r="343" spans="2:17">
      <c r="B343" s="12">
        <v>2</v>
      </c>
      <c r="C343" s="13">
        <f t="shared" si="180"/>
        <v>18</v>
      </c>
      <c r="D343" s="1"/>
      <c r="E343" s="12">
        <v>14</v>
      </c>
      <c r="F343" s="13">
        <f t="shared" si="181"/>
        <v>6</v>
      </c>
      <c r="G343" s="2"/>
      <c r="H343" s="6">
        <f t="shared" si="182"/>
        <v>0.1</v>
      </c>
      <c r="I343" s="32">
        <f t="shared" si="183"/>
        <v>3.3559823754916465E-2</v>
      </c>
      <c r="J343" s="7">
        <f t="shared" si="184"/>
        <v>0.26229670611635653</v>
      </c>
      <c r="K343" s="6">
        <f t="shared" si="185"/>
        <v>0.7</v>
      </c>
      <c r="L343" s="32">
        <f t="shared" si="186"/>
        <v>0.51561697855622868</v>
      </c>
      <c r="M343" s="7">
        <f t="shared" si="187"/>
        <v>0.83646135789442599</v>
      </c>
      <c r="N343" s="6">
        <f t="shared" si="188"/>
        <v>-0.6</v>
      </c>
      <c r="O343" s="32">
        <f t="shared" si="189"/>
        <v>-0.75177614838263751</v>
      </c>
      <c r="P343" s="7">
        <f t="shared" si="190"/>
        <v>-0.3543634403983128</v>
      </c>
      <c r="Q343" s="7" t="str">
        <f t="shared" si="191"/>
        <v>FAIL</v>
      </c>
    </row>
    <row r="344" spans="2:17">
      <c r="B344" s="12">
        <v>3</v>
      </c>
      <c r="C344" s="13">
        <f t="shared" si="180"/>
        <v>17</v>
      </c>
      <c r="D344" s="1"/>
      <c r="E344" s="12">
        <v>14</v>
      </c>
      <c r="F344" s="13">
        <f t="shared" si="181"/>
        <v>6</v>
      </c>
      <c r="G344" s="2"/>
      <c r="H344" s="6">
        <f t="shared" si="182"/>
        <v>0.15</v>
      </c>
      <c r="I344" s="32">
        <f t="shared" si="183"/>
        <v>6.1419802519351356E-2</v>
      </c>
      <c r="J344" s="7">
        <f t="shared" si="184"/>
        <v>0.32245521123353676</v>
      </c>
      <c r="K344" s="6">
        <f t="shared" si="185"/>
        <v>0.7</v>
      </c>
      <c r="L344" s="32">
        <f t="shared" si="186"/>
        <v>0.51561697855622868</v>
      </c>
      <c r="M344" s="7">
        <f t="shared" si="187"/>
        <v>0.83646135789442599</v>
      </c>
      <c r="N344" s="6">
        <f t="shared" si="188"/>
        <v>-0.54999999999999993</v>
      </c>
      <c r="O344" s="32">
        <f t="shared" si="189"/>
        <v>-0.71269036106697081</v>
      </c>
      <c r="P344" s="7">
        <f t="shared" si="190"/>
        <v>-0.29753634226222175</v>
      </c>
      <c r="Q344" s="7" t="str">
        <f t="shared" si="191"/>
        <v>FAIL</v>
      </c>
    </row>
    <row r="345" spans="2:17">
      <c r="B345" s="12">
        <v>4</v>
      </c>
      <c r="C345" s="13">
        <f t="shared" si="180"/>
        <v>16</v>
      </c>
      <c r="D345" s="1"/>
      <c r="E345" s="12">
        <v>14</v>
      </c>
      <c r="F345" s="13">
        <f t="shared" si="181"/>
        <v>6</v>
      </c>
      <c r="G345" s="2"/>
      <c r="H345" s="6">
        <f t="shared" si="182"/>
        <v>0.2</v>
      </c>
      <c r="I345" s="32">
        <f t="shared" si="183"/>
        <v>9.2900237075401015E-2</v>
      </c>
      <c r="J345" s="7">
        <f t="shared" si="184"/>
        <v>0.37899326055910226</v>
      </c>
      <c r="K345" s="6">
        <f t="shared" si="185"/>
        <v>0.7</v>
      </c>
      <c r="L345" s="32">
        <f t="shared" si="186"/>
        <v>0.51561697855622868</v>
      </c>
      <c r="M345" s="7">
        <f t="shared" si="187"/>
        <v>0.83646135789442599</v>
      </c>
      <c r="N345" s="6">
        <f t="shared" si="188"/>
        <v>-0.49999999999999994</v>
      </c>
      <c r="O345" s="32">
        <f t="shared" si="189"/>
        <v>-0.6734706356041158</v>
      </c>
      <c r="P345" s="7">
        <f t="shared" si="190"/>
        <v>-0.24302590418037673</v>
      </c>
      <c r="Q345" s="7" t="str">
        <f t="shared" si="191"/>
        <v>FAIL</v>
      </c>
    </row>
    <row r="346" spans="2:17">
      <c r="B346" s="12">
        <v>5</v>
      </c>
      <c r="C346" s="13">
        <f t="shared" si="180"/>
        <v>15</v>
      </c>
      <c r="D346" s="1"/>
      <c r="E346" s="12">
        <v>14</v>
      </c>
      <c r="F346" s="13">
        <f t="shared" si="181"/>
        <v>6</v>
      </c>
      <c r="G346" s="2"/>
      <c r="H346" s="6">
        <f t="shared" si="182"/>
        <v>0.25</v>
      </c>
      <c r="I346" s="32">
        <f t="shared" si="183"/>
        <v>0.12710822188096477</v>
      </c>
      <c r="J346" s="7">
        <f t="shared" si="184"/>
        <v>0.43280375963515361</v>
      </c>
      <c r="K346" s="6">
        <f t="shared" si="185"/>
        <v>0.7</v>
      </c>
      <c r="L346" s="32">
        <f t="shared" si="186"/>
        <v>0.51561697855622868</v>
      </c>
      <c r="M346" s="7">
        <f t="shared" si="187"/>
        <v>0.83646135789442599</v>
      </c>
      <c r="N346" s="6">
        <f t="shared" si="188"/>
        <v>-0.44999999999999996</v>
      </c>
      <c r="O346" s="32">
        <f t="shared" si="189"/>
        <v>-0.63364120269604207</v>
      </c>
      <c r="P346" s="7">
        <f t="shared" si="190"/>
        <v>-0.19035733568328711</v>
      </c>
      <c r="Q346" s="7" t="str">
        <f t="shared" si="191"/>
        <v>FAIL</v>
      </c>
    </row>
    <row r="347" spans="2:17">
      <c r="B347" s="12">
        <v>6</v>
      </c>
      <c r="C347" s="13">
        <f t="shared" si="180"/>
        <v>14</v>
      </c>
      <c r="D347" s="1"/>
      <c r="E347" s="12">
        <v>14</v>
      </c>
      <c r="F347" s="13">
        <f t="shared" si="181"/>
        <v>6</v>
      </c>
      <c r="G347" s="2"/>
      <c r="H347" s="6">
        <f t="shared" si="182"/>
        <v>0.3</v>
      </c>
      <c r="I347" s="32">
        <f t="shared" si="183"/>
        <v>0.16354304302976813</v>
      </c>
      <c r="J347" s="7">
        <f t="shared" si="184"/>
        <v>0.48438742236796539</v>
      </c>
      <c r="K347" s="6">
        <f t="shared" si="185"/>
        <v>0.7</v>
      </c>
      <c r="L347" s="32">
        <f t="shared" si="186"/>
        <v>0.51561697855622868</v>
      </c>
      <c r="M347" s="7">
        <f t="shared" si="187"/>
        <v>0.83646135789442599</v>
      </c>
      <c r="N347" s="6">
        <f t="shared" si="188"/>
        <v>-0.39999999999999997</v>
      </c>
      <c r="O347" s="32">
        <f t="shared" si="189"/>
        <v>-0.59298239117589546</v>
      </c>
      <c r="P347" s="7">
        <f t="shared" si="190"/>
        <v>-0.13923991846097933</v>
      </c>
      <c r="Q347" s="7" t="str">
        <f t="shared" si="191"/>
        <v>FAIL</v>
      </c>
    </row>
    <row r="348" spans="2:17">
      <c r="B348" s="12">
        <v>7</v>
      </c>
      <c r="C348" s="13">
        <f t="shared" si="180"/>
        <v>13</v>
      </c>
      <c r="D348" s="1"/>
      <c r="E348" s="12">
        <v>14</v>
      </c>
      <c r="F348" s="13">
        <f t="shared" si="181"/>
        <v>6</v>
      </c>
      <c r="G348" s="2"/>
      <c r="H348" s="6">
        <f t="shared" si="182"/>
        <v>0.35</v>
      </c>
      <c r="I348" s="32">
        <f t="shared" si="183"/>
        <v>0.20189973247796225</v>
      </c>
      <c r="J348" s="7">
        <f t="shared" si="184"/>
        <v>0.53404921680138639</v>
      </c>
      <c r="K348" s="6">
        <f t="shared" si="185"/>
        <v>0.7</v>
      </c>
      <c r="L348" s="32">
        <f t="shared" si="186"/>
        <v>0.51561697855622868</v>
      </c>
      <c r="M348" s="7">
        <f t="shared" si="187"/>
        <v>0.83646135789442599</v>
      </c>
      <c r="N348" s="6">
        <f t="shared" si="188"/>
        <v>-0.35</v>
      </c>
      <c r="O348" s="32">
        <f t="shared" si="189"/>
        <v>-0.55138369208674709</v>
      </c>
      <c r="P348" s="7">
        <f t="shared" si="190"/>
        <v>-8.9478959003427172E-2</v>
      </c>
      <c r="Q348" s="7" t="str">
        <f t="shared" si="191"/>
        <v>FAIL</v>
      </c>
    </row>
    <row r="349" spans="2:17">
      <c r="B349" s="12">
        <v>8</v>
      </c>
      <c r="C349" s="13">
        <f t="shared" si="180"/>
        <v>12</v>
      </c>
      <c r="D349" s="1"/>
      <c r="E349" s="12">
        <v>14</v>
      </c>
      <c r="F349" s="13">
        <f t="shared" si="181"/>
        <v>6</v>
      </c>
      <c r="G349" s="2"/>
      <c r="H349" s="6">
        <f t="shared" si="182"/>
        <v>0.4</v>
      </c>
      <c r="I349" s="32">
        <f t="shared" si="183"/>
        <v>0.24198647075497337</v>
      </c>
      <c r="J349" s="7">
        <f t="shared" si="184"/>
        <v>0.5819809624059904</v>
      </c>
      <c r="K349" s="6">
        <f t="shared" si="185"/>
        <v>0.7</v>
      </c>
      <c r="L349" s="32">
        <f t="shared" si="186"/>
        <v>0.51561697855622868</v>
      </c>
      <c r="M349" s="7">
        <f t="shared" si="187"/>
        <v>0.83646135789442599</v>
      </c>
      <c r="N349" s="6">
        <f t="shared" si="188"/>
        <v>-0.29999999999999993</v>
      </c>
      <c r="O349" s="32">
        <f t="shared" si="189"/>
        <v>-0.50878212955820601</v>
      </c>
      <c r="P349" s="7">
        <f t="shared" si="190"/>
        <v>-4.0935974564308253E-2</v>
      </c>
      <c r="Q349" s="7" t="str">
        <f t="shared" si="191"/>
        <v>FAIL</v>
      </c>
    </row>
    <row r="350" spans="2:17">
      <c r="B350" s="12">
        <v>9</v>
      </c>
      <c r="C350" s="13">
        <f t="shared" si="180"/>
        <v>11</v>
      </c>
      <c r="D350" s="1"/>
      <c r="E350" s="12">
        <v>14</v>
      </c>
      <c r="F350" s="13">
        <f t="shared" si="181"/>
        <v>6</v>
      </c>
      <c r="G350" s="2"/>
      <c r="H350" s="6">
        <f t="shared" si="182"/>
        <v>0.45</v>
      </c>
      <c r="I350" s="32">
        <f t="shared" si="183"/>
        <v>0.28368506621578338</v>
      </c>
      <c r="J350" s="7">
        <f t="shared" si="184"/>
        <v>0.62830085082679554</v>
      </c>
      <c r="K350" s="6">
        <f t="shared" si="185"/>
        <v>0.7</v>
      </c>
      <c r="L350" s="32">
        <f t="shared" si="186"/>
        <v>0.51561697855622868</v>
      </c>
      <c r="M350" s="7">
        <f t="shared" si="187"/>
        <v>0.83646135789442599</v>
      </c>
      <c r="N350" s="6">
        <f t="shared" si="188"/>
        <v>-0.24999999999999994</v>
      </c>
      <c r="O350" s="32">
        <f t="shared" si="189"/>
        <v>-0.46513335259331356</v>
      </c>
      <c r="P350" s="7">
        <f t="shared" si="190"/>
        <v>6.4922844888193332E-3</v>
      </c>
      <c r="Q350" s="7" t="str">
        <f t="shared" si="191"/>
        <v>PASS</v>
      </c>
    </row>
    <row r="351" spans="2:17">
      <c r="B351" s="12">
        <v>10</v>
      </c>
      <c r="C351" s="13">
        <f t="shared" si="180"/>
        <v>10</v>
      </c>
      <c r="D351" s="1"/>
      <c r="E351" s="12">
        <v>14</v>
      </c>
      <c r="F351" s="13">
        <f t="shared" si="181"/>
        <v>6</v>
      </c>
      <c r="G351" s="2"/>
      <c r="H351" s="6">
        <f t="shared" si="182"/>
        <v>0.5</v>
      </c>
      <c r="I351" s="32">
        <f t="shared" si="183"/>
        <v>0.32693094787634341</v>
      </c>
      <c r="J351" s="7">
        <f t="shared" si="184"/>
        <v>0.6730734530478506</v>
      </c>
      <c r="K351" s="6">
        <f t="shared" si="185"/>
        <v>0.7</v>
      </c>
      <c r="L351" s="32">
        <f t="shared" si="186"/>
        <v>0.51561697855622868</v>
      </c>
      <c r="M351" s="7">
        <f t="shared" si="187"/>
        <v>0.83646135789442599</v>
      </c>
      <c r="N351" s="6">
        <f t="shared" si="188"/>
        <v>-0.19999999999999996</v>
      </c>
      <c r="O351" s="32">
        <f t="shared" si="189"/>
        <v>-0.42039645868609499</v>
      </c>
      <c r="P351" s="7">
        <f t="shared" si="190"/>
        <v>5.2886375170037137E-2</v>
      </c>
      <c r="Q351" s="7" t="str">
        <f t="shared" si="191"/>
        <v>PASS</v>
      </c>
    </row>
    <row r="352" spans="2:17">
      <c r="B352" s="12">
        <v>11</v>
      </c>
      <c r="C352" s="13">
        <f t="shared" si="180"/>
        <v>9</v>
      </c>
      <c r="D352" s="1"/>
      <c r="E352" s="12">
        <v>14</v>
      </c>
      <c r="F352" s="13">
        <f t="shared" si="181"/>
        <v>6</v>
      </c>
      <c r="G352" s="2"/>
      <c r="H352" s="6">
        <f t="shared" si="182"/>
        <v>0.55000000000000004</v>
      </c>
      <c r="I352" s="32">
        <f t="shared" si="183"/>
        <v>0.37170355009739847</v>
      </c>
      <c r="J352" s="7">
        <f t="shared" si="184"/>
        <v>0.71631933470841069</v>
      </c>
      <c r="K352" s="6">
        <f t="shared" si="185"/>
        <v>0.7</v>
      </c>
      <c r="L352" s="32">
        <f t="shared" si="186"/>
        <v>0.51561697855622868</v>
      </c>
      <c r="M352" s="7">
        <f t="shared" si="187"/>
        <v>0.83646135789442599</v>
      </c>
      <c r="N352" s="6">
        <f t="shared" si="188"/>
        <v>-0.14999999999999991</v>
      </c>
      <c r="O352" s="32">
        <f t="shared" si="189"/>
        <v>-0.37452466734472967</v>
      </c>
      <c r="P352" s="7">
        <f t="shared" si="190"/>
        <v>9.8312745735257417E-2</v>
      </c>
      <c r="Q352" s="7" t="str">
        <f t="shared" si="191"/>
        <v>PASS</v>
      </c>
    </row>
    <row r="353" spans="2:17">
      <c r="B353" s="12">
        <v>12</v>
      </c>
      <c r="C353" s="13">
        <f t="shared" si="180"/>
        <v>8</v>
      </c>
      <c r="D353" s="1"/>
      <c r="E353" s="12">
        <v>14</v>
      </c>
      <c r="F353" s="13">
        <f t="shared" si="181"/>
        <v>6</v>
      </c>
      <c r="G353" s="2"/>
      <c r="H353" s="6">
        <f t="shared" si="182"/>
        <v>0.6</v>
      </c>
      <c r="I353" s="32">
        <f t="shared" si="183"/>
        <v>0.41802343851820367</v>
      </c>
      <c r="J353" s="7">
        <f t="shared" si="184"/>
        <v>0.75801793016922059</v>
      </c>
      <c r="K353" s="6">
        <f t="shared" si="185"/>
        <v>0.7</v>
      </c>
      <c r="L353" s="32">
        <f t="shared" si="186"/>
        <v>0.51561697855622868</v>
      </c>
      <c r="M353" s="7">
        <f t="shared" si="187"/>
        <v>0.83646135789442599</v>
      </c>
      <c r="N353" s="6">
        <f t="shared" si="188"/>
        <v>-9.9999999999999978E-2</v>
      </c>
      <c r="O353" s="32">
        <f t="shared" si="189"/>
        <v>-0.3274580645462557</v>
      </c>
      <c r="P353" s="7">
        <f t="shared" si="190"/>
        <v>0.14283073292254198</v>
      </c>
      <c r="Q353" s="7" t="str">
        <f t="shared" si="191"/>
        <v>PASS</v>
      </c>
    </row>
    <row r="354" spans="2:17">
      <c r="B354" s="12">
        <v>13</v>
      </c>
      <c r="C354" s="13">
        <f t="shared" si="180"/>
        <v>7</v>
      </c>
      <c r="D354" s="1"/>
      <c r="E354" s="12">
        <v>14</v>
      </c>
      <c r="F354" s="13">
        <f t="shared" si="181"/>
        <v>6</v>
      </c>
      <c r="G354" s="2"/>
      <c r="H354" s="6">
        <f t="shared" si="182"/>
        <v>0.65</v>
      </c>
      <c r="I354" s="32">
        <f t="shared" si="183"/>
        <v>0.46595518412280768</v>
      </c>
      <c r="J354" s="7">
        <f t="shared" si="184"/>
        <v>0.79810466844623185</v>
      </c>
      <c r="K354" s="6">
        <f t="shared" si="185"/>
        <v>0.7</v>
      </c>
      <c r="L354" s="32">
        <f t="shared" si="186"/>
        <v>0.51561697855622868</v>
      </c>
      <c r="M354" s="7">
        <f t="shared" si="187"/>
        <v>0.83646135789442599</v>
      </c>
      <c r="N354" s="6">
        <f t="shared" si="188"/>
        <v>-4.9999999999999933E-2</v>
      </c>
      <c r="O354" s="32">
        <f t="shared" si="189"/>
        <v>-0.27911612001267005</v>
      </c>
      <c r="P354" s="7">
        <f t="shared" si="190"/>
        <v>0.18649966471921794</v>
      </c>
      <c r="Q354" s="7" t="str">
        <f t="shared" si="191"/>
        <v>PASS</v>
      </c>
    </row>
    <row r="355" spans="2:17">
      <c r="B355" s="12">
        <v>14</v>
      </c>
      <c r="C355" s="13">
        <f t="shared" si="180"/>
        <v>6</v>
      </c>
      <c r="D355" s="1"/>
      <c r="E355" s="12">
        <v>14</v>
      </c>
      <c r="F355" s="13">
        <f t="shared" si="181"/>
        <v>6</v>
      </c>
      <c r="G355" s="2"/>
      <c r="H355" s="6">
        <f t="shared" si="182"/>
        <v>0.7</v>
      </c>
      <c r="I355" s="32">
        <f t="shared" si="183"/>
        <v>0.51561697855622868</v>
      </c>
      <c r="J355" s="7">
        <f t="shared" si="184"/>
        <v>0.83646135789442599</v>
      </c>
      <c r="K355" s="6">
        <f t="shared" si="185"/>
        <v>0.7</v>
      </c>
      <c r="L355" s="32">
        <f t="shared" si="186"/>
        <v>0.51561697855622868</v>
      </c>
      <c r="M355" s="7">
        <f t="shared" si="187"/>
        <v>0.83646135789442599</v>
      </c>
      <c r="N355" s="6">
        <f t="shared" si="188"/>
        <v>0</v>
      </c>
      <c r="O355" s="32">
        <f t="shared" si="189"/>
        <v>-0.2293878828428495</v>
      </c>
      <c r="P355" s="7">
        <f t="shared" si="190"/>
        <v>0.2293878828428495</v>
      </c>
      <c r="Q355" s="7" t="str">
        <f t="shared" si="191"/>
        <v>PASS</v>
      </c>
    </row>
    <row r="356" spans="2:17">
      <c r="B356" s="12">
        <v>15</v>
      </c>
      <c r="C356" s="13">
        <f t="shared" si="180"/>
        <v>5</v>
      </c>
      <c r="D356" s="1"/>
      <c r="E356" s="12">
        <v>14</v>
      </c>
      <c r="F356" s="13">
        <f t="shared" si="181"/>
        <v>6</v>
      </c>
      <c r="G356" s="2"/>
      <c r="H356" s="6">
        <f t="shared" si="182"/>
        <v>0.75</v>
      </c>
      <c r="I356" s="32">
        <f t="shared" si="183"/>
        <v>0.56720064128904046</v>
      </c>
      <c r="J356" s="7">
        <f t="shared" si="184"/>
        <v>0.87289617904322925</v>
      </c>
      <c r="K356" s="6">
        <f t="shared" si="185"/>
        <v>0.7</v>
      </c>
      <c r="L356" s="32">
        <f t="shared" si="186"/>
        <v>0.51561697855622868</v>
      </c>
      <c r="M356" s="7">
        <f t="shared" si="187"/>
        <v>0.83646135789442599</v>
      </c>
      <c r="N356" s="6">
        <f t="shared" si="188"/>
        <v>5.0000000000000044E-2</v>
      </c>
      <c r="O356" s="32">
        <f t="shared" si="189"/>
        <v>-0.17811687299173787</v>
      </c>
      <c r="P356" s="7">
        <f t="shared" si="190"/>
        <v>0.27158648293648169</v>
      </c>
      <c r="Q356" s="7" t="str">
        <f t="shared" si="191"/>
        <v>PASS</v>
      </c>
    </row>
    <row r="357" spans="2:17">
      <c r="B357" s="12">
        <v>16</v>
      </c>
      <c r="C357" s="13">
        <f t="shared" si="180"/>
        <v>4</v>
      </c>
      <c r="D357" s="1"/>
      <c r="E357" s="12">
        <v>14</v>
      </c>
      <c r="F357" s="13">
        <f t="shared" si="181"/>
        <v>6</v>
      </c>
      <c r="G357" s="2"/>
      <c r="H357" s="6">
        <f t="shared" si="182"/>
        <v>0.8</v>
      </c>
      <c r="I357" s="32">
        <f t="shared" si="183"/>
        <v>0.62101114036509186</v>
      </c>
      <c r="J357" s="7">
        <f t="shared" si="184"/>
        <v>0.907104163848793</v>
      </c>
      <c r="K357" s="6">
        <f t="shared" si="185"/>
        <v>0.7</v>
      </c>
      <c r="L357" s="32">
        <f t="shared" si="186"/>
        <v>0.51561697855622868</v>
      </c>
      <c r="M357" s="7">
        <f t="shared" si="187"/>
        <v>0.83646135789442599</v>
      </c>
      <c r="N357" s="6">
        <f t="shared" si="188"/>
        <v>0.10000000000000009</v>
      </c>
      <c r="O357" s="32">
        <f t="shared" si="189"/>
        <v>-0.12507490769029642</v>
      </c>
      <c r="P357" s="7">
        <f t="shared" si="190"/>
        <v>0.31323320686629308</v>
      </c>
      <c r="Q357" s="7" t="str">
        <f t="shared" si="191"/>
        <v>PASS</v>
      </c>
    </row>
    <row r="358" spans="2:17">
      <c r="B358" s="12">
        <v>17</v>
      </c>
      <c r="C358" s="13">
        <f t="shared" si="180"/>
        <v>3</v>
      </c>
      <c r="D358" s="1"/>
      <c r="E358" s="12">
        <v>14</v>
      </c>
      <c r="F358" s="13">
        <f t="shared" si="181"/>
        <v>6</v>
      </c>
      <c r="G358" s="2"/>
      <c r="H358" s="6">
        <f t="shared" si="182"/>
        <v>0.85</v>
      </c>
      <c r="I358" s="32">
        <f t="shared" si="183"/>
        <v>0.67754918969065736</v>
      </c>
      <c r="J358" s="7">
        <f t="shared" si="184"/>
        <v>0.93858459840484276</v>
      </c>
      <c r="K358" s="6">
        <f t="shared" si="185"/>
        <v>0.7</v>
      </c>
      <c r="L358" s="32">
        <f t="shared" si="186"/>
        <v>0.51561697855622868</v>
      </c>
      <c r="M358" s="7">
        <f t="shared" si="187"/>
        <v>0.83646135789442599</v>
      </c>
      <c r="N358" s="6">
        <f t="shared" si="188"/>
        <v>0.15000000000000002</v>
      </c>
      <c r="O358" s="32">
        <f t="shared" si="189"/>
        <v>-6.9911309792696857E-2</v>
      </c>
      <c r="P358" s="7">
        <f t="shared" si="190"/>
        <v>0.35455886602951608</v>
      </c>
      <c r="Q358" s="7" t="str">
        <f t="shared" si="191"/>
        <v>PASS</v>
      </c>
    </row>
    <row r="359" spans="2:17">
      <c r="B359" s="12">
        <v>18</v>
      </c>
      <c r="C359" s="13">
        <f t="shared" si="180"/>
        <v>2</v>
      </c>
      <c r="D359" s="1"/>
      <c r="E359" s="12">
        <v>14</v>
      </c>
      <c r="F359" s="13">
        <f t="shared" si="181"/>
        <v>6</v>
      </c>
      <c r="G359" s="2"/>
      <c r="H359" s="6">
        <f t="shared" si="182"/>
        <v>0.9</v>
      </c>
      <c r="I359" s="32">
        <f t="shared" si="183"/>
        <v>0.7377076948078376</v>
      </c>
      <c r="J359" s="7">
        <f t="shared" si="184"/>
        <v>0.96644457716927756</v>
      </c>
      <c r="K359" s="6">
        <f t="shared" si="185"/>
        <v>0.7</v>
      </c>
      <c r="L359" s="32">
        <f t="shared" si="186"/>
        <v>0.51561697855622868</v>
      </c>
      <c r="M359" s="7">
        <f t="shared" si="187"/>
        <v>0.83646135789442599</v>
      </c>
      <c r="N359" s="6">
        <f t="shared" si="188"/>
        <v>0.20000000000000007</v>
      </c>
      <c r="O359" s="32">
        <f t="shared" si="189"/>
        <v>-1.2038898608195459E-2</v>
      </c>
      <c r="P359" s="7">
        <f t="shared" si="190"/>
        <v>0.39598974573160284</v>
      </c>
      <c r="Q359" s="7" t="str">
        <f t="shared" si="191"/>
        <v>PASS</v>
      </c>
    </row>
    <row r="360" spans="2:17">
      <c r="B360" s="12">
        <v>19</v>
      </c>
      <c r="C360" s="13">
        <f t="shared" si="180"/>
        <v>1</v>
      </c>
      <c r="D360" s="1"/>
      <c r="E360" s="12">
        <v>14</v>
      </c>
      <c r="F360" s="13">
        <f t="shared" si="181"/>
        <v>6</v>
      </c>
      <c r="G360" s="2"/>
      <c r="H360" s="6">
        <f t="shared" si="182"/>
        <v>0.95</v>
      </c>
      <c r="I360" s="32">
        <f t="shared" si="183"/>
        <v>0.80335937249454403</v>
      </c>
      <c r="J360" s="7">
        <f t="shared" si="184"/>
        <v>0.98881138336418628</v>
      </c>
      <c r="K360" s="6">
        <f t="shared" si="185"/>
        <v>0.7</v>
      </c>
      <c r="L360" s="32">
        <f t="shared" si="186"/>
        <v>0.51561697855622868</v>
      </c>
      <c r="M360" s="7">
        <f t="shared" si="187"/>
        <v>0.83646135789442599</v>
      </c>
      <c r="N360" s="6">
        <f t="shared" si="188"/>
        <v>0.25</v>
      </c>
      <c r="O360" s="32">
        <f t="shared" si="189"/>
        <v>4.968730486166259E-2</v>
      </c>
      <c r="P360" s="7">
        <f t="shared" si="190"/>
        <v>0.43842351784046507</v>
      </c>
      <c r="Q360" s="7" t="str">
        <f t="shared" si="191"/>
        <v>FAIL</v>
      </c>
    </row>
    <row r="361" spans="2:17" ht="15" thickBot="1">
      <c r="B361" s="15">
        <v>20</v>
      </c>
      <c r="C361" s="14">
        <f t="shared" si="180"/>
        <v>0</v>
      </c>
      <c r="D361" s="1"/>
      <c r="E361" s="15">
        <v>14</v>
      </c>
      <c r="F361" s="14">
        <f t="shared" si="181"/>
        <v>6</v>
      </c>
      <c r="G361" s="2"/>
      <c r="H361" s="8">
        <f t="shared" si="182"/>
        <v>1</v>
      </c>
      <c r="I361" s="16">
        <f t="shared" si="183"/>
        <v>0.88018813951940023</v>
      </c>
      <c r="J361" s="9">
        <f t="shared" si="184"/>
        <v>1.0000011002209452</v>
      </c>
      <c r="K361" s="8">
        <f t="shared" si="185"/>
        <v>0.7</v>
      </c>
      <c r="L361" s="16">
        <f t="shared" si="186"/>
        <v>0.51561697855622868</v>
      </c>
      <c r="M361" s="9">
        <f t="shared" si="187"/>
        <v>0.83646135789442599</v>
      </c>
      <c r="N361" s="8">
        <f t="shared" si="188"/>
        <v>0.30000000000000004</v>
      </c>
      <c r="O361" s="16">
        <f t="shared" si="189"/>
        <v>0.11840544030667297</v>
      </c>
      <c r="P361" s="9">
        <f t="shared" si="190"/>
        <v>0.48438302144705386</v>
      </c>
      <c r="Q361" s="9" t="str">
        <f t="shared" si="191"/>
        <v>FAIL</v>
      </c>
    </row>
    <row r="362" spans="2:17" ht="15" thickBot="1"/>
    <row r="363" spans="2:17">
      <c r="B363" s="3">
        <v>0</v>
      </c>
      <c r="C363" s="11">
        <f>20-B363</f>
        <v>20</v>
      </c>
      <c r="D363" s="1"/>
      <c r="E363" s="3">
        <v>15</v>
      </c>
      <c r="F363" s="11">
        <f>20-E363</f>
        <v>5</v>
      </c>
      <c r="G363" s="2"/>
      <c r="H363" s="5">
        <f>B363/SUM(B363:C363)</f>
        <v>0</v>
      </c>
      <c r="I363" s="41">
        <f>((B363+1.3613)-(1.65*SQRT(B363-(B363^2/SUM(B363:C363))+0.6806)))/(SUM(B363:C363)+2.7225)</f>
        <v>3.3007032488877747E-6</v>
      </c>
      <c r="J363" s="4">
        <f>((B363+1.3613)+(1.65*SQRT(B363-(B363^2/SUM(B363:C363))+0.6806)))/(SUM(B363:C363)+2.7225)</f>
        <v>0.1198162614047938</v>
      </c>
      <c r="K363" s="5">
        <f>E363/SUM(E363:F363)</f>
        <v>0.75</v>
      </c>
      <c r="L363" s="41">
        <f>((E363+1.3613)-(1.65*SQRT(E363-(E363^2/SUM(E363:F363))+0.6806)))/(SUM(E363:F363)+2.7225)</f>
        <v>0.56720064128904046</v>
      </c>
      <c r="M363" s="4">
        <f>((E363+1.3613)+(1.65*SQRT(E363-(E363^2/SUM(E363:F363))+0.6806)))/(SUM(E363:F363)+2.7225)</f>
        <v>0.87289617904322925</v>
      </c>
      <c r="N363" s="5">
        <f>H363-K363</f>
        <v>-0.75</v>
      </c>
      <c r="O363" s="41">
        <f>N363-SQRT((H363-I363)^2+(K363-M363)^2)</f>
        <v>-0.87289617908755379</v>
      </c>
      <c r="P363" s="4">
        <f>N363+SQRT((H363-J363)^2+(K363-L363)^2)</f>
        <v>-0.53143298043355225</v>
      </c>
      <c r="Q363" s="4" t="str">
        <f>IF(O363*P363&lt;0,"PASS","FAIL")</f>
        <v>FAIL</v>
      </c>
    </row>
    <row r="364" spans="2:17">
      <c r="B364" s="12">
        <v>1</v>
      </c>
      <c r="C364" s="13">
        <f t="shared" ref="C364:C383" si="192">20-B364</f>
        <v>19</v>
      </c>
      <c r="D364" s="1"/>
      <c r="E364" s="12">
        <v>15</v>
      </c>
      <c r="F364" s="13">
        <f t="shared" ref="F364:F383" si="193">20-E364</f>
        <v>5</v>
      </c>
      <c r="G364" s="2"/>
      <c r="H364" s="6">
        <f t="shared" ref="H364:H383" si="194">B364/SUM(B364:C364)</f>
        <v>0.05</v>
      </c>
      <c r="I364" s="32">
        <f t="shared" ref="I364:I383" si="195">((B364+1.3613)-(1.65*SQRT(B364-(B364^2/SUM(B364:C364))+0.6806)))/(SUM(B364:C364)+2.7225)</f>
        <v>1.1193017560007713E-2</v>
      </c>
      <c r="J364" s="7">
        <f t="shared" ref="J364:J383" si="196">((B364+1.3613)+(1.65*SQRT(B364-(B364^2/SUM(B364:C364))+0.6806)))/(SUM(B364:C364)+2.7225)</f>
        <v>0.19664502842965012</v>
      </c>
      <c r="K364" s="6">
        <f t="shared" ref="K364:K383" si="197">E364/SUM(E364:F364)</f>
        <v>0.75</v>
      </c>
      <c r="L364" s="32">
        <f t="shared" ref="L364:L383" si="198">((E364+1.3613)-(1.65*SQRT(E364-(E364^2/SUM(E364:F364))+0.6806)))/(SUM(E364:F364)+2.7225)</f>
        <v>0.56720064128904046</v>
      </c>
      <c r="M364" s="7">
        <f t="shared" ref="M364:M383" si="199">((E364+1.3613)+(1.65*SQRT(E364-(E364^2/SUM(E364:F364))+0.6806)))/(SUM(E364:F364)+2.7225)</f>
        <v>0.87289617904322925</v>
      </c>
      <c r="N364" s="6">
        <f t="shared" ref="N364:N383" si="200">H364-K364</f>
        <v>-0.7</v>
      </c>
      <c r="O364" s="32">
        <f t="shared" ref="O364:O383" si="201">N364-SQRT((H364-I364)^2+(K364-M364)^2)</f>
        <v>-0.82887766567378274</v>
      </c>
      <c r="P364" s="7">
        <f t="shared" ref="P364:P383" si="202">N364+SQRT((H364-J364)^2+(K364-L364)^2)</f>
        <v>-0.46564904542914498</v>
      </c>
      <c r="Q364" s="7" t="str">
        <f t="shared" ref="Q364:Q383" si="203">IF(O364*P364&lt;0,"PASS","FAIL")</f>
        <v>FAIL</v>
      </c>
    </row>
    <row r="365" spans="2:17">
      <c r="B365" s="12">
        <v>2</v>
      </c>
      <c r="C365" s="13">
        <f t="shared" si="192"/>
        <v>18</v>
      </c>
      <c r="D365" s="1"/>
      <c r="E365" s="12">
        <v>15</v>
      </c>
      <c r="F365" s="13">
        <f t="shared" si="193"/>
        <v>5</v>
      </c>
      <c r="G365" s="2"/>
      <c r="H365" s="6">
        <f t="shared" si="194"/>
        <v>0.1</v>
      </c>
      <c r="I365" s="32">
        <f t="shared" si="195"/>
        <v>3.3559823754916465E-2</v>
      </c>
      <c r="J365" s="7">
        <f t="shared" si="196"/>
        <v>0.26229670611635653</v>
      </c>
      <c r="K365" s="6">
        <f t="shared" si="197"/>
        <v>0.75</v>
      </c>
      <c r="L365" s="32">
        <f t="shared" si="198"/>
        <v>0.56720064128904046</v>
      </c>
      <c r="M365" s="7">
        <f t="shared" si="199"/>
        <v>0.87289617904322925</v>
      </c>
      <c r="N365" s="6">
        <f t="shared" si="200"/>
        <v>-0.65</v>
      </c>
      <c r="O365" s="32">
        <f t="shared" si="201"/>
        <v>-0.78970600503522825</v>
      </c>
      <c r="P365" s="7">
        <f t="shared" si="202"/>
        <v>-0.40554995119379289</v>
      </c>
      <c r="Q365" s="7" t="str">
        <f t="shared" si="203"/>
        <v>FAIL</v>
      </c>
    </row>
    <row r="366" spans="2:17">
      <c r="B366" s="12">
        <v>3</v>
      </c>
      <c r="C366" s="13">
        <f t="shared" si="192"/>
        <v>17</v>
      </c>
      <c r="D366" s="1"/>
      <c r="E366" s="12">
        <v>15</v>
      </c>
      <c r="F366" s="13">
        <f t="shared" si="193"/>
        <v>5</v>
      </c>
      <c r="G366" s="2"/>
      <c r="H366" s="6">
        <f t="shared" si="194"/>
        <v>0.15</v>
      </c>
      <c r="I366" s="32">
        <f t="shared" si="195"/>
        <v>6.1419802519351356E-2</v>
      </c>
      <c r="J366" s="7">
        <f t="shared" si="196"/>
        <v>0.32245521123353676</v>
      </c>
      <c r="K366" s="6">
        <f t="shared" si="197"/>
        <v>0.75</v>
      </c>
      <c r="L366" s="32">
        <f t="shared" si="198"/>
        <v>0.56720064128904046</v>
      </c>
      <c r="M366" s="7">
        <f t="shared" si="199"/>
        <v>0.87289617904322925</v>
      </c>
      <c r="N366" s="6">
        <f t="shared" si="200"/>
        <v>-0.6</v>
      </c>
      <c r="O366" s="32">
        <f t="shared" si="201"/>
        <v>-0.75149231732710464</v>
      </c>
      <c r="P366" s="7">
        <f t="shared" si="202"/>
        <v>-0.34869061810839241</v>
      </c>
      <c r="Q366" s="7" t="str">
        <f t="shared" si="203"/>
        <v>FAIL</v>
      </c>
    </row>
    <row r="367" spans="2:17">
      <c r="B367" s="12">
        <v>4</v>
      </c>
      <c r="C367" s="13">
        <f t="shared" si="192"/>
        <v>16</v>
      </c>
      <c r="D367" s="1"/>
      <c r="E367" s="12">
        <v>15</v>
      </c>
      <c r="F367" s="13">
        <f t="shared" si="193"/>
        <v>5</v>
      </c>
      <c r="G367" s="2"/>
      <c r="H367" s="6">
        <f t="shared" si="194"/>
        <v>0.2</v>
      </c>
      <c r="I367" s="32">
        <f t="shared" si="195"/>
        <v>9.2900237075401015E-2</v>
      </c>
      <c r="J367" s="7">
        <f t="shared" si="196"/>
        <v>0.37899326055910226</v>
      </c>
      <c r="K367" s="6">
        <f t="shared" si="197"/>
        <v>0.75</v>
      </c>
      <c r="L367" s="32">
        <f t="shared" si="198"/>
        <v>0.56720064128904046</v>
      </c>
      <c r="M367" s="7">
        <f t="shared" si="199"/>
        <v>0.87289617904322925</v>
      </c>
      <c r="N367" s="6">
        <f t="shared" si="200"/>
        <v>-0.55000000000000004</v>
      </c>
      <c r="O367" s="32">
        <f t="shared" si="201"/>
        <v>-0.7130148154062409</v>
      </c>
      <c r="P367" s="7">
        <f t="shared" si="202"/>
        <v>-0.29415982944284003</v>
      </c>
      <c r="Q367" s="7" t="str">
        <f t="shared" si="203"/>
        <v>FAIL</v>
      </c>
    </row>
    <row r="368" spans="2:17">
      <c r="B368" s="12">
        <v>5</v>
      </c>
      <c r="C368" s="13">
        <f t="shared" si="192"/>
        <v>15</v>
      </c>
      <c r="D368" s="1"/>
      <c r="E368" s="12">
        <v>15</v>
      </c>
      <c r="F368" s="13">
        <f t="shared" si="193"/>
        <v>5</v>
      </c>
      <c r="G368" s="2"/>
      <c r="H368" s="6">
        <f t="shared" si="194"/>
        <v>0.25</v>
      </c>
      <c r="I368" s="32">
        <f t="shared" si="195"/>
        <v>0.12710822188096477</v>
      </c>
      <c r="J368" s="7">
        <f t="shared" si="196"/>
        <v>0.43280375963515361</v>
      </c>
      <c r="K368" s="6">
        <f t="shared" si="197"/>
        <v>0.75</v>
      </c>
      <c r="L368" s="32">
        <f t="shared" si="198"/>
        <v>0.56720064128904046</v>
      </c>
      <c r="M368" s="7">
        <f t="shared" si="199"/>
        <v>0.87289617904322925</v>
      </c>
      <c r="N368" s="6">
        <f t="shared" si="200"/>
        <v>-0.5</v>
      </c>
      <c r="O368" s="32">
        <f t="shared" si="201"/>
        <v>-0.67379833127128597</v>
      </c>
      <c r="P368" s="7">
        <f t="shared" si="202"/>
        <v>-0.24147955577578573</v>
      </c>
      <c r="Q368" s="7" t="str">
        <f t="shared" si="203"/>
        <v>FAIL</v>
      </c>
    </row>
    <row r="369" spans="2:17">
      <c r="B369" s="12">
        <v>6</v>
      </c>
      <c r="C369" s="13">
        <f t="shared" si="192"/>
        <v>14</v>
      </c>
      <c r="D369" s="1"/>
      <c r="E369" s="12">
        <v>15</v>
      </c>
      <c r="F369" s="13">
        <f t="shared" si="193"/>
        <v>5</v>
      </c>
      <c r="G369" s="2"/>
      <c r="H369" s="6">
        <f t="shared" si="194"/>
        <v>0.3</v>
      </c>
      <c r="I369" s="32">
        <f t="shared" si="195"/>
        <v>0.16354304302976813</v>
      </c>
      <c r="J369" s="7">
        <f t="shared" si="196"/>
        <v>0.48438742236796539</v>
      </c>
      <c r="K369" s="6">
        <f t="shared" si="197"/>
        <v>0.75</v>
      </c>
      <c r="L369" s="32">
        <f t="shared" si="198"/>
        <v>0.56720064128904046</v>
      </c>
      <c r="M369" s="7">
        <f t="shared" si="199"/>
        <v>0.87289617904322925</v>
      </c>
      <c r="N369" s="6">
        <f t="shared" si="200"/>
        <v>-0.45</v>
      </c>
      <c r="O369" s="32">
        <f t="shared" si="201"/>
        <v>-0.63364087760899301</v>
      </c>
      <c r="P369" s="7">
        <f t="shared" si="202"/>
        <v>-0.19035730884032087</v>
      </c>
      <c r="Q369" s="7" t="str">
        <f t="shared" si="203"/>
        <v>FAIL</v>
      </c>
    </row>
    <row r="370" spans="2:17">
      <c r="B370" s="12">
        <v>7</v>
      </c>
      <c r="C370" s="13">
        <f t="shared" si="192"/>
        <v>13</v>
      </c>
      <c r="D370" s="1"/>
      <c r="E370" s="12">
        <v>15</v>
      </c>
      <c r="F370" s="13">
        <f t="shared" si="193"/>
        <v>5</v>
      </c>
      <c r="G370" s="2"/>
      <c r="H370" s="6">
        <f t="shared" si="194"/>
        <v>0.35</v>
      </c>
      <c r="I370" s="32">
        <f t="shared" si="195"/>
        <v>0.20189973247796225</v>
      </c>
      <c r="J370" s="7">
        <f t="shared" si="196"/>
        <v>0.53404921680138639</v>
      </c>
      <c r="K370" s="6">
        <f t="shared" si="197"/>
        <v>0.75</v>
      </c>
      <c r="L370" s="32">
        <f t="shared" si="198"/>
        <v>0.56720064128904046</v>
      </c>
      <c r="M370" s="7">
        <f t="shared" si="199"/>
        <v>0.87289617904322925</v>
      </c>
      <c r="N370" s="6">
        <f t="shared" si="200"/>
        <v>-0.4</v>
      </c>
      <c r="O370" s="32">
        <f t="shared" si="201"/>
        <v>-0.5924504093618006</v>
      </c>
      <c r="P370" s="7">
        <f t="shared" si="202"/>
        <v>-0.14059737906038461</v>
      </c>
      <c r="Q370" s="7" t="str">
        <f t="shared" si="203"/>
        <v>FAIL</v>
      </c>
    </row>
    <row r="371" spans="2:17">
      <c r="B371" s="12">
        <v>8</v>
      </c>
      <c r="C371" s="13">
        <f t="shared" si="192"/>
        <v>12</v>
      </c>
      <c r="D371" s="1"/>
      <c r="E371" s="12">
        <v>15</v>
      </c>
      <c r="F371" s="13">
        <f t="shared" si="193"/>
        <v>5</v>
      </c>
      <c r="G371" s="2"/>
      <c r="H371" s="6">
        <f t="shared" si="194"/>
        <v>0.4</v>
      </c>
      <c r="I371" s="32">
        <f t="shared" si="195"/>
        <v>0.24198647075497337</v>
      </c>
      <c r="J371" s="7">
        <f t="shared" si="196"/>
        <v>0.5819809624059904</v>
      </c>
      <c r="K371" s="6">
        <f t="shared" si="197"/>
        <v>0.75</v>
      </c>
      <c r="L371" s="32">
        <f t="shared" si="198"/>
        <v>0.56720064128904046</v>
      </c>
      <c r="M371" s="7">
        <f t="shared" si="199"/>
        <v>0.87289617904322925</v>
      </c>
      <c r="N371" s="6">
        <f t="shared" si="200"/>
        <v>-0.35</v>
      </c>
      <c r="O371" s="32">
        <f t="shared" si="201"/>
        <v>-0.55017928526172311</v>
      </c>
      <c r="P371" s="7">
        <f t="shared" si="202"/>
        <v>-9.2060712136850797E-2</v>
      </c>
      <c r="Q371" s="7" t="str">
        <f t="shared" si="203"/>
        <v>FAIL</v>
      </c>
    </row>
    <row r="372" spans="2:17">
      <c r="B372" s="12">
        <v>9</v>
      </c>
      <c r="C372" s="13">
        <f t="shared" si="192"/>
        <v>11</v>
      </c>
      <c r="D372" s="1"/>
      <c r="E372" s="12">
        <v>15</v>
      </c>
      <c r="F372" s="13">
        <f t="shared" si="193"/>
        <v>5</v>
      </c>
      <c r="G372" s="2"/>
      <c r="H372" s="6">
        <f t="shared" si="194"/>
        <v>0.45</v>
      </c>
      <c r="I372" s="32">
        <f t="shared" si="195"/>
        <v>0.28368506621578338</v>
      </c>
      <c r="J372" s="7">
        <f t="shared" si="196"/>
        <v>0.62830085082679554</v>
      </c>
      <c r="K372" s="6">
        <f t="shared" si="197"/>
        <v>0.75</v>
      </c>
      <c r="L372" s="32">
        <f t="shared" si="198"/>
        <v>0.56720064128904046</v>
      </c>
      <c r="M372" s="7">
        <f t="shared" si="199"/>
        <v>0.87289617904322925</v>
      </c>
      <c r="N372" s="6">
        <f t="shared" si="200"/>
        <v>-0.3</v>
      </c>
      <c r="O372" s="32">
        <f t="shared" si="201"/>
        <v>-0.50679489360976449</v>
      </c>
      <c r="P372" s="7">
        <f t="shared" si="202"/>
        <v>-4.4643780278025624E-2</v>
      </c>
      <c r="Q372" s="7" t="str">
        <f t="shared" si="203"/>
        <v>FAIL</v>
      </c>
    </row>
    <row r="373" spans="2:17">
      <c r="B373" s="12">
        <v>10</v>
      </c>
      <c r="C373" s="13">
        <f t="shared" si="192"/>
        <v>10</v>
      </c>
      <c r="D373" s="1"/>
      <c r="E373" s="12">
        <v>15</v>
      </c>
      <c r="F373" s="13">
        <f t="shared" si="193"/>
        <v>5</v>
      </c>
      <c r="G373" s="2"/>
      <c r="H373" s="6">
        <f t="shared" si="194"/>
        <v>0.5</v>
      </c>
      <c r="I373" s="32">
        <f t="shared" si="195"/>
        <v>0.32693094787634341</v>
      </c>
      <c r="J373" s="7">
        <f t="shared" si="196"/>
        <v>0.6730734530478506</v>
      </c>
      <c r="K373" s="6">
        <f t="shared" si="197"/>
        <v>0.75</v>
      </c>
      <c r="L373" s="32">
        <f t="shared" si="198"/>
        <v>0.56720064128904046</v>
      </c>
      <c r="M373" s="7">
        <f t="shared" si="199"/>
        <v>0.87289617904322925</v>
      </c>
      <c r="N373" s="6">
        <f t="shared" si="200"/>
        <v>-0.25</v>
      </c>
      <c r="O373" s="32">
        <f t="shared" si="201"/>
        <v>-0.46226485254607375</v>
      </c>
      <c r="P373" s="7">
        <f t="shared" si="202"/>
        <v>1.7340376171736671E-3</v>
      </c>
      <c r="Q373" s="7" t="str">
        <f t="shared" si="203"/>
        <v>PASS</v>
      </c>
    </row>
    <row r="374" spans="2:17">
      <c r="B374" s="12">
        <v>11</v>
      </c>
      <c r="C374" s="13">
        <f t="shared" si="192"/>
        <v>9</v>
      </c>
      <c r="D374" s="1"/>
      <c r="E374" s="12">
        <v>15</v>
      </c>
      <c r="F374" s="13">
        <f t="shared" si="193"/>
        <v>5</v>
      </c>
      <c r="G374" s="2"/>
      <c r="H374" s="6">
        <f t="shared" si="194"/>
        <v>0.55000000000000004</v>
      </c>
      <c r="I374" s="32">
        <f t="shared" si="195"/>
        <v>0.37170355009739847</v>
      </c>
      <c r="J374" s="7">
        <f t="shared" si="196"/>
        <v>0.71631933470841069</v>
      </c>
      <c r="K374" s="6">
        <f t="shared" si="197"/>
        <v>0.75</v>
      </c>
      <c r="L374" s="32">
        <f t="shared" si="198"/>
        <v>0.56720064128904046</v>
      </c>
      <c r="M374" s="7">
        <f t="shared" si="199"/>
        <v>0.87289617904322925</v>
      </c>
      <c r="N374" s="6">
        <f t="shared" si="200"/>
        <v>-0.19999999999999996</v>
      </c>
      <c r="O374" s="32">
        <f t="shared" si="201"/>
        <v>-0.4165481352293211</v>
      </c>
      <c r="P374" s="7">
        <f t="shared" si="202"/>
        <v>4.7139083600685083E-2</v>
      </c>
      <c r="Q374" s="7" t="str">
        <f t="shared" si="203"/>
        <v>PASS</v>
      </c>
    </row>
    <row r="375" spans="2:17">
      <c r="B375" s="12">
        <v>12</v>
      </c>
      <c r="C375" s="13">
        <f t="shared" si="192"/>
        <v>8</v>
      </c>
      <c r="D375" s="1"/>
      <c r="E375" s="12">
        <v>15</v>
      </c>
      <c r="F375" s="13">
        <f t="shared" si="193"/>
        <v>5</v>
      </c>
      <c r="G375" s="2"/>
      <c r="H375" s="6">
        <f t="shared" si="194"/>
        <v>0.6</v>
      </c>
      <c r="I375" s="32">
        <f t="shared" si="195"/>
        <v>0.41802343851820367</v>
      </c>
      <c r="J375" s="7">
        <f t="shared" si="196"/>
        <v>0.75801793016922059</v>
      </c>
      <c r="K375" s="6">
        <f t="shared" si="197"/>
        <v>0.75</v>
      </c>
      <c r="L375" s="32">
        <f t="shared" si="198"/>
        <v>0.56720064128904046</v>
      </c>
      <c r="M375" s="7">
        <f t="shared" si="199"/>
        <v>0.87289617904322925</v>
      </c>
      <c r="N375" s="6">
        <f t="shared" si="200"/>
        <v>-0.15000000000000002</v>
      </c>
      <c r="O375" s="32">
        <f t="shared" si="201"/>
        <v>-0.36958811386813145</v>
      </c>
      <c r="P375" s="7">
        <f t="shared" si="202"/>
        <v>9.163044468796297E-2</v>
      </c>
      <c r="Q375" s="7" t="str">
        <f t="shared" si="203"/>
        <v>PASS</v>
      </c>
    </row>
    <row r="376" spans="2:17">
      <c r="B376" s="12">
        <v>13</v>
      </c>
      <c r="C376" s="13">
        <f t="shared" si="192"/>
        <v>7</v>
      </c>
      <c r="D376" s="1"/>
      <c r="E376" s="12">
        <v>15</v>
      </c>
      <c r="F376" s="13">
        <f t="shared" si="193"/>
        <v>5</v>
      </c>
      <c r="G376" s="2"/>
      <c r="H376" s="6">
        <f t="shared" si="194"/>
        <v>0.65</v>
      </c>
      <c r="I376" s="32">
        <f t="shared" si="195"/>
        <v>0.46595518412280768</v>
      </c>
      <c r="J376" s="7">
        <f t="shared" si="196"/>
        <v>0.79810466844623185</v>
      </c>
      <c r="K376" s="6">
        <f t="shared" si="197"/>
        <v>0.75</v>
      </c>
      <c r="L376" s="32">
        <f t="shared" si="198"/>
        <v>0.56720064128904046</v>
      </c>
      <c r="M376" s="7">
        <f t="shared" si="199"/>
        <v>0.87289617904322925</v>
      </c>
      <c r="N376" s="6">
        <f t="shared" si="200"/>
        <v>-9.9999999999999978E-2</v>
      </c>
      <c r="O376" s="32">
        <f t="shared" si="201"/>
        <v>-0.32130514019040562</v>
      </c>
      <c r="P376" s="7">
        <f t="shared" si="202"/>
        <v>0.1352670787864429</v>
      </c>
      <c r="Q376" s="7" t="str">
        <f t="shared" si="203"/>
        <v>PASS</v>
      </c>
    </row>
    <row r="377" spans="2:17">
      <c r="B377" s="12">
        <v>14</v>
      </c>
      <c r="C377" s="13">
        <f t="shared" si="192"/>
        <v>6</v>
      </c>
      <c r="D377" s="1"/>
      <c r="E377" s="12">
        <v>15</v>
      </c>
      <c r="F377" s="13">
        <f t="shared" si="193"/>
        <v>5</v>
      </c>
      <c r="G377" s="2"/>
      <c r="H377" s="6">
        <f t="shared" si="194"/>
        <v>0.7</v>
      </c>
      <c r="I377" s="32">
        <f t="shared" si="195"/>
        <v>0.51561697855622868</v>
      </c>
      <c r="J377" s="7">
        <f t="shared" si="196"/>
        <v>0.83646135789442599</v>
      </c>
      <c r="K377" s="6">
        <f t="shared" si="197"/>
        <v>0.75</v>
      </c>
      <c r="L377" s="32">
        <f t="shared" si="198"/>
        <v>0.56720064128904046</v>
      </c>
      <c r="M377" s="7">
        <f t="shared" si="199"/>
        <v>0.87289617904322925</v>
      </c>
      <c r="N377" s="6">
        <f t="shared" si="200"/>
        <v>-5.0000000000000044E-2</v>
      </c>
      <c r="O377" s="32">
        <f t="shared" si="201"/>
        <v>-0.27158648293648169</v>
      </c>
      <c r="P377" s="7">
        <f t="shared" si="202"/>
        <v>0.17811687299173787</v>
      </c>
      <c r="Q377" s="7" t="str">
        <f t="shared" si="203"/>
        <v>PASS</v>
      </c>
    </row>
    <row r="378" spans="2:17">
      <c r="B378" s="12">
        <v>15</v>
      </c>
      <c r="C378" s="13">
        <f t="shared" si="192"/>
        <v>5</v>
      </c>
      <c r="D378" s="1"/>
      <c r="E378" s="12">
        <v>15</v>
      </c>
      <c r="F378" s="13">
        <f t="shared" si="193"/>
        <v>5</v>
      </c>
      <c r="G378" s="2"/>
      <c r="H378" s="6">
        <f t="shared" si="194"/>
        <v>0.75</v>
      </c>
      <c r="I378" s="32">
        <f t="shared" si="195"/>
        <v>0.56720064128904046</v>
      </c>
      <c r="J378" s="7">
        <f t="shared" si="196"/>
        <v>0.87289617904322925</v>
      </c>
      <c r="K378" s="6">
        <f t="shared" si="197"/>
        <v>0.75</v>
      </c>
      <c r="L378" s="32">
        <f t="shared" si="198"/>
        <v>0.56720064128904046</v>
      </c>
      <c r="M378" s="7">
        <f t="shared" si="199"/>
        <v>0.87289617904322925</v>
      </c>
      <c r="N378" s="6">
        <f t="shared" si="200"/>
        <v>0</v>
      </c>
      <c r="O378" s="32">
        <f t="shared" si="201"/>
        <v>-0.22027046186123894</v>
      </c>
      <c r="P378" s="7">
        <f t="shared" si="202"/>
        <v>0.22027046186123894</v>
      </c>
      <c r="Q378" s="7" t="str">
        <f t="shared" si="203"/>
        <v>PASS</v>
      </c>
    </row>
    <row r="379" spans="2:17">
      <c r="B379" s="12">
        <v>16</v>
      </c>
      <c r="C379" s="13">
        <f t="shared" si="192"/>
        <v>4</v>
      </c>
      <c r="D379" s="1"/>
      <c r="E379" s="12">
        <v>15</v>
      </c>
      <c r="F379" s="13">
        <f t="shared" si="193"/>
        <v>5</v>
      </c>
      <c r="G379" s="2"/>
      <c r="H379" s="6">
        <f t="shared" si="194"/>
        <v>0.8</v>
      </c>
      <c r="I379" s="32">
        <f t="shared" si="195"/>
        <v>0.62101114036509186</v>
      </c>
      <c r="J379" s="7">
        <f t="shared" si="196"/>
        <v>0.907104163848793</v>
      </c>
      <c r="K379" s="6">
        <f t="shared" si="197"/>
        <v>0.75</v>
      </c>
      <c r="L379" s="32">
        <f t="shared" si="198"/>
        <v>0.56720064128904046</v>
      </c>
      <c r="M379" s="7">
        <f t="shared" si="199"/>
        <v>0.87289617904322925</v>
      </c>
      <c r="N379" s="6">
        <f t="shared" si="200"/>
        <v>5.0000000000000044E-2</v>
      </c>
      <c r="O379" s="32">
        <f t="shared" si="201"/>
        <v>-0.16711859132011314</v>
      </c>
      <c r="P379" s="7">
        <f t="shared" si="202"/>
        <v>0.26186530499090022</v>
      </c>
      <c r="Q379" s="7" t="str">
        <f t="shared" si="203"/>
        <v>PASS</v>
      </c>
    </row>
    <row r="380" spans="2:17">
      <c r="B380" s="12">
        <v>17</v>
      </c>
      <c r="C380" s="13">
        <f t="shared" si="192"/>
        <v>3</v>
      </c>
      <c r="D380" s="1"/>
      <c r="E380" s="12">
        <v>15</v>
      </c>
      <c r="F380" s="13">
        <f t="shared" si="193"/>
        <v>5</v>
      </c>
      <c r="G380" s="2"/>
      <c r="H380" s="6">
        <f t="shared" si="194"/>
        <v>0.85</v>
      </c>
      <c r="I380" s="32">
        <f t="shared" si="195"/>
        <v>0.67754918969065736</v>
      </c>
      <c r="J380" s="7">
        <f t="shared" si="196"/>
        <v>0.93858459840484276</v>
      </c>
      <c r="K380" s="6">
        <f t="shared" si="197"/>
        <v>0.75</v>
      </c>
      <c r="L380" s="32">
        <f t="shared" si="198"/>
        <v>0.56720064128904046</v>
      </c>
      <c r="M380" s="7">
        <f t="shared" si="199"/>
        <v>0.87289617904322925</v>
      </c>
      <c r="N380" s="6">
        <f t="shared" si="200"/>
        <v>9.9999999999999978E-2</v>
      </c>
      <c r="O380" s="32">
        <f t="shared" si="201"/>
        <v>-0.11176107479840183</v>
      </c>
      <c r="P380" s="7">
        <f t="shared" si="202"/>
        <v>0.30313255923087595</v>
      </c>
      <c r="Q380" s="7" t="str">
        <f t="shared" si="203"/>
        <v>PASS</v>
      </c>
    </row>
    <row r="381" spans="2:17">
      <c r="B381" s="12">
        <v>18</v>
      </c>
      <c r="C381" s="13">
        <f t="shared" si="192"/>
        <v>2</v>
      </c>
      <c r="D381" s="1"/>
      <c r="E381" s="12">
        <v>15</v>
      </c>
      <c r="F381" s="13">
        <f t="shared" si="193"/>
        <v>5</v>
      </c>
      <c r="G381" s="2"/>
      <c r="H381" s="6">
        <f t="shared" si="194"/>
        <v>0.9</v>
      </c>
      <c r="I381" s="32">
        <f t="shared" si="195"/>
        <v>0.7377076948078376</v>
      </c>
      <c r="J381" s="7">
        <f t="shared" si="196"/>
        <v>0.96644457716927756</v>
      </c>
      <c r="K381" s="6">
        <f t="shared" si="197"/>
        <v>0.75</v>
      </c>
      <c r="L381" s="32">
        <f t="shared" si="198"/>
        <v>0.56720064128904046</v>
      </c>
      <c r="M381" s="7">
        <f t="shared" si="199"/>
        <v>0.87289617904322925</v>
      </c>
      <c r="N381" s="6">
        <f t="shared" si="200"/>
        <v>0.15000000000000002</v>
      </c>
      <c r="O381" s="32">
        <f t="shared" si="201"/>
        <v>-5.3573729022217992E-2</v>
      </c>
      <c r="P381" s="7">
        <f t="shared" si="202"/>
        <v>0.34450061023128475</v>
      </c>
      <c r="Q381" s="7" t="str">
        <f t="shared" si="203"/>
        <v>PASS</v>
      </c>
    </row>
    <row r="382" spans="2:17">
      <c r="B382" s="12">
        <v>19</v>
      </c>
      <c r="C382" s="13">
        <f t="shared" si="192"/>
        <v>1</v>
      </c>
      <c r="D382" s="1"/>
      <c r="E382" s="12">
        <v>15</v>
      </c>
      <c r="F382" s="13">
        <f t="shared" si="193"/>
        <v>5</v>
      </c>
      <c r="G382" s="2"/>
      <c r="H382" s="6">
        <f t="shared" si="194"/>
        <v>0.95</v>
      </c>
      <c r="I382" s="32">
        <f t="shared" si="195"/>
        <v>0.80335937249454403</v>
      </c>
      <c r="J382" s="7">
        <f t="shared" si="196"/>
        <v>0.98881138336418628</v>
      </c>
      <c r="K382" s="6">
        <f t="shared" si="197"/>
        <v>0.75</v>
      </c>
      <c r="L382" s="32">
        <f t="shared" si="198"/>
        <v>0.56720064128904046</v>
      </c>
      <c r="M382" s="7">
        <f t="shared" si="199"/>
        <v>0.87289617904322925</v>
      </c>
      <c r="N382" s="6">
        <f t="shared" si="200"/>
        <v>0.19999999999999996</v>
      </c>
      <c r="O382" s="32">
        <f t="shared" si="201"/>
        <v>8.6705865304047003E-3</v>
      </c>
      <c r="P382" s="7">
        <f t="shared" si="202"/>
        <v>0.38687409939255862</v>
      </c>
      <c r="Q382" s="7" t="str">
        <f t="shared" si="203"/>
        <v>FAIL</v>
      </c>
    </row>
    <row r="383" spans="2:17" ht="15" thickBot="1">
      <c r="B383" s="15">
        <v>20</v>
      </c>
      <c r="C383" s="14">
        <f t="shared" si="192"/>
        <v>0</v>
      </c>
      <c r="D383" s="1"/>
      <c r="E383" s="15">
        <v>15</v>
      </c>
      <c r="F383" s="14">
        <f t="shared" si="193"/>
        <v>5</v>
      </c>
      <c r="G383" s="2"/>
      <c r="H383" s="8">
        <f t="shared" si="194"/>
        <v>1</v>
      </c>
      <c r="I383" s="16">
        <f t="shared" si="195"/>
        <v>0.88018813951940023</v>
      </c>
      <c r="J383" s="9">
        <f t="shared" si="196"/>
        <v>1.0000011002209452</v>
      </c>
      <c r="K383" s="8">
        <f t="shared" si="197"/>
        <v>0.75</v>
      </c>
      <c r="L383" s="16">
        <f t="shared" si="198"/>
        <v>0.56720064128904046</v>
      </c>
      <c r="M383" s="9">
        <f t="shared" si="199"/>
        <v>0.87289617904322925</v>
      </c>
      <c r="N383" s="8">
        <f t="shared" si="200"/>
        <v>0.25</v>
      </c>
      <c r="O383" s="16">
        <f t="shared" si="201"/>
        <v>7.8365642322849094E-2</v>
      </c>
      <c r="P383" s="9">
        <f t="shared" si="202"/>
        <v>0.4327993587142705</v>
      </c>
      <c r="Q383" s="9" t="str">
        <f t="shared" si="203"/>
        <v>FAIL</v>
      </c>
    </row>
    <row r="384" spans="2:17" ht="15" thickBot="1"/>
    <row r="385" spans="2:17">
      <c r="B385" s="3">
        <v>0</v>
      </c>
      <c r="C385" s="11">
        <f>20-B385</f>
        <v>20</v>
      </c>
      <c r="D385" s="1"/>
      <c r="E385" s="3">
        <v>16</v>
      </c>
      <c r="F385" s="11">
        <f>20-E385</f>
        <v>4</v>
      </c>
      <c r="G385" s="2"/>
      <c r="H385" s="5">
        <f>B385/SUM(B385:C385)</f>
        <v>0</v>
      </c>
      <c r="I385" s="41">
        <f>((B385+1.3613)-(1.65*SQRT(B385-(B385^2/SUM(B385:C385))+0.6806)))/(SUM(B385:C385)+2.7225)</f>
        <v>3.3007032488877747E-6</v>
      </c>
      <c r="J385" s="4">
        <f>((B385+1.3613)+(1.65*SQRT(B385-(B385^2/SUM(B385:C385))+0.6806)))/(SUM(B385:C385)+2.7225)</f>
        <v>0.1198162614047938</v>
      </c>
      <c r="K385" s="5">
        <f>E385/SUM(E385:F385)</f>
        <v>0.8</v>
      </c>
      <c r="L385" s="41">
        <f>((E385+1.3613)-(1.65*SQRT(E385-(E385^2/SUM(E385:F385))+0.6806)))/(SUM(E385:F385)+2.7225)</f>
        <v>0.62101114036509186</v>
      </c>
      <c r="M385" s="4">
        <f>((E385+1.3613)+(1.65*SQRT(E385-(E385^2/SUM(E385:F385))+0.6806)))/(SUM(E385:F385)+2.7225)</f>
        <v>0.907104163848793</v>
      </c>
      <c r="N385" s="5">
        <f>H385-K385</f>
        <v>-0.8</v>
      </c>
      <c r="O385" s="41">
        <f>N385-SQRT((H385-I385)^2+(K385-M385)^2)</f>
        <v>-0.90710416389965298</v>
      </c>
      <c r="P385" s="4">
        <f>N385+SQRT((H385-J385)^2+(K385-L385)^2)</f>
        <v>-0.58460977652078372</v>
      </c>
      <c r="Q385" s="4" t="str">
        <f>IF(O385*P385&lt;0,"PASS","FAIL")</f>
        <v>FAIL</v>
      </c>
    </row>
    <row r="386" spans="2:17">
      <c r="B386" s="12">
        <v>1</v>
      </c>
      <c r="C386" s="13">
        <f t="shared" ref="C386:C405" si="204">20-B386</f>
        <v>19</v>
      </c>
      <c r="D386" s="1"/>
      <c r="E386" s="12">
        <v>16</v>
      </c>
      <c r="F386" s="13">
        <f t="shared" ref="F386:F405" si="205">20-E386</f>
        <v>4</v>
      </c>
      <c r="G386" s="2"/>
      <c r="H386" s="6">
        <f t="shared" ref="H386:H405" si="206">B386/SUM(B386:C386)</f>
        <v>0.05</v>
      </c>
      <c r="I386" s="32">
        <f t="shared" ref="I386:I405" si="207">((B386+1.3613)-(1.65*SQRT(B386-(B386^2/SUM(B386:C386))+0.6806)))/(SUM(B386:C386)+2.7225)</f>
        <v>1.1193017560007713E-2</v>
      </c>
      <c r="J386" s="7">
        <f t="shared" ref="J386:J405" si="208">((B386+1.3613)+(1.65*SQRT(B386-(B386^2/SUM(B386:C386))+0.6806)))/(SUM(B386:C386)+2.7225)</f>
        <v>0.19664502842965012</v>
      </c>
      <c r="K386" s="6">
        <f t="shared" ref="K386:K405" si="209">E386/SUM(E386:F386)</f>
        <v>0.8</v>
      </c>
      <c r="L386" s="32">
        <f t="shared" ref="L386:L405" si="210">((E386+1.3613)-(1.65*SQRT(E386-(E386^2/SUM(E386:F386))+0.6806)))/(SUM(E386:F386)+2.7225)</f>
        <v>0.62101114036509186</v>
      </c>
      <c r="M386" s="7">
        <f t="shared" ref="M386:M405" si="211">((E386+1.3613)+(1.65*SQRT(E386-(E386^2/SUM(E386:F386))+0.6806)))/(SUM(E386:F386)+2.7225)</f>
        <v>0.907104163848793</v>
      </c>
      <c r="N386" s="6">
        <f t="shared" ref="N386:N405" si="212">H386-K386</f>
        <v>-0.75</v>
      </c>
      <c r="O386" s="32">
        <f t="shared" ref="O386:O405" si="213">N386-SQRT((H386-I386)^2+(K386-M386)^2)</f>
        <v>-0.86391788182654627</v>
      </c>
      <c r="P386" s="7">
        <f t="shared" ref="P386:P405" si="214">N386+SQRT((H386-J386)^2+(K386-L386)^2)</f>
        <v>-0.51860904028778965</v>
      </c>
      <c r="Q386" s="7" t="str">
        <f t="shared" ref="Q386:Q405" si="215">IF(O386*P386&lt;0,"PASS","FAIL")</f>
        <v>FAIL</v>
      </c>
    </row>
    <row r="387" spans="2:17">
      <c r="B387" s="12">
        <v>2</v>
      </c>
      <c r="C387" s="13">
        <f t="shared" si="204"/>
        <v>18</v>
      </c>
      <c r="D387" s="1"/>
      <c r="E387" s="12">
        <v>16</v>
      </c>
      <c r="F387" s="13">
        <f t="shared" si="205"/>
        <v>4</v>
      </c>
      <c r="G387" s="2"/>
      <c r="H387" s="6">
        <f t="shared" si="206"/>
        <v>0.1</v>
      </c>
      <c r="I387" s="32">
        <f t="shared" si="207"/>
        <v>3.3559823754916465E-2</v>
      </c>
      <c r="J387" s="7">
        <f t="shared" si="208"/>
        <v>0.26229670611635653</v>
      </c>
      <c r="K387" s="6">
        <f t="shared" si="209"/>
        <v>0.8</v>
      </c>
      <c r="L387" s="32">
        <f t="shared" si="210"/>
        <v>0.62101114036509186</v>
      </c>
      <c r="M387" s="7">
        <f t="shared" si="211"/>
        <v>0.907104163848793</v>
      </c>
      <c r="N387" s="6">
        <f t="shared" si="212"/>
        <v>-0.70000000000000007</v>
      </c>
      <c r="O387" s="32">
        <f t="shared" si="213"/>
        <v>-0.82603808524897093</v>
      </c>
      <c r="P387" s="7">
        <f t="shared" si="214"/>
        <v>-0.45838619102041411</v>
      </c>
      <c r="Q387" s="7" t="str">
        <f t="shared" si="215"/>
        <v>FAIL</v>
      </c>
    </row>
    <row r="388" spans="2:17">
      <c r="B388" s="12">
        <v>3</v>
      </c>
      <c r="C388" s="13">
        <f t="shared" si="204"/>
        <v>17</v>
      </c>
      <c r="D388" s="1"/>
      <c r="E388" s="12">
        <v>16</v>
      </c>
      <c r="F388" s="13">
        <f t="shared" si="205"/>
        <v>4</v>
      </c>
      <c r="G388" s="2"/>
      <c r="H388" s="6">
        <f t="shared" si="206"/>
        <v>0.15</v>
      </c>
      <c r="I388" s="32">
        <f t="shared" si="207"/>
        <v>6.1419802519351356E-2</v>
      </c>
      <c r="J388" s="7">
        <f t="shared" si="208"/>
        <v>0.32245521123353676</v>
      </c>
      <c r="K388" s="6">
        <f t="shared" si="209"/>
        <v>0.8</v>
      </c>
      <c r="L388" s="32">
        <f t="shared" si="210"/>
        <v>0.62101114036509186</v>
      </c>
      <c r="M388" s="7">
        <f t="shared" si="211"/>
        <v>0.907104163848793</v>
      </c>
      <c r="N388" s="6">
        <f t="shared" si="212"/>
        <v>-0.65</v>
      </c>
      <c r="O388" s="32">
        <f t="shared" si="213"/>
        <v>-0.78898832073041181</v>
      </c>
      <c r="P388" s="7">
        <f t="shared" si="214"/>
        <v>-0.40144857321872274</v>
      </c>
      <c r="Q388" s="7" t="str">
        <f t="shared" si="215"/>
        <v>FAIL</v>
      </c>
    </row>
    <row r="389" spans="2:17">
      <c r="B389" s="12">
        <v>4</v>
      </c>
      <c r="C389" s="13">
        <f t="shared" si="204"/>
        <v>16</v>
      </c>
      <c r="D389" s="1"/>
      <c r="E389" s="12">
        <v>16</v>
      </c>
      <c r="F389" s="13">
        <f t="shared" si="205"/>
        <v>4</v>
      </c>
      <c r="G389" s="2"/>
      <c r="H389" s="6">
        <f t="shared" si="206"/>
        <v>0.2</v>
      </c>
      <c r="I389" s="32">
        <f t="shared" si="207"/>
        <v>9.2900237075401015E-2</v>
      </c>
      <c r="J389" s="7">
        <f t="shared" si="208"/>
        <v>0.37899326055910226</v>
      </c>
      <c r="K389" s="6">
        <f t="shared" si="209"/>
        <v>0.8</v>
      </c>
      <c r="L389" s="32">
        <f t="shared" si="210"/>
        <v>0.62101114036509186</v>
      </c>
      <c r="M389" s="7">
        <f t="shared" si="211"/>
        <v>0.907104163848793</v>
      </c>
      <c r="N389" s="6">
        <f t="shared" si="212"/>
        <v>-0.60000000000000009</v>
      </c>
      <c r="O389" s="32">
        <f t="shared" si="213"/>
        <v>-0.75146504921022017</v>
      </c>
      <c r="P389" s="7">
        <f t="shared" si="214"/>
        <v>-0.3468684152481491</v>
      </c>
      <c r="Q389" s="7" t="str">
        <f t="shared" si="215"/>
        <v>FAIL</v>
      </c>
    </row>
    <row r="390" spans="2:17">
      <c r="B390" s="12">
        <v>5</v>
      </c>
      <c r="C390" s="13">
        <f t="shared" si="204"/>
        <v>15</v>
      </c>
      <c r="D390" s="1"/>
      <c r="E390" s="12">
        <v>16</v>
      </c>
      <c r="F390" s="13">
        <f t="shared" si="205"/>
        <v>4</v>
      </c>
      <c r="G390" s="2"/>
      <c r="H390" s="6">
        <f t="shared" si="206"/>
        <v>0.25</v>
      </c>
      <c r="I390" s="32">
        <f t="shared" si="207"/>
        <v>0.12710822188096477</v>
      </c>
      <c r="J390" s="7">
        <f t="shared" si="208"/>
        <v>0.43280375963515361</v>
      </c>
      <c r="K390" s="6">
        <f t="shared" si="209"/>
        <v>0.8</v>
      </c>
      <c r="L390" s="32">
        <f t="shared" si="210"/>
        <v>0.62101114036509186</v>
      </c>
      <c r="M390" s="7">
        <f t="shared" si="211"/>
        <v>0.907104163848793</v>
      </c>
      <c r="N390" s="6">
        <f t="shared" si="212"/>
        <v>-0.55000000000000004</v>
      </c>
      <c r="O390" s="32">
        <f t="shared" si="213"/>
        <v>-0.71301438906736814</v>
      </c>
      <c r="P390" s="7">
        <f t="shared" si="214"/>
        <v>-0.29415976389521553</v>
      </c>
      <c r="Q390" s="7" t="str">
        <f t="shared" si="215"/>
        <v>FAIL</v>
      </c>
    </row>
    <row r="391" spans="2:17">
      <c r="B391" s="12">
        <v>6</v>
      </c>
      <c r="C391" s="13">
        <f t="shared" si="204"/>
        <v>14</v>
      </c>
      <c r="D391" s="1"/>
      <c r="E391" s="12">
        <v>16</v>
      </c>
      <c r="F391" s="13">
        <f t="shared" si="205"/>
        <v>4</v>
      </c>
      <c r="G391" s="2"/>
      <c r="H391" s="6">
        <f t="shared" si="206"/>
        <v>0.3</v>
      </c>
      <c r="I391" s="32">
        <f t="shared" si="207"/>
        <v>0.16354304302976813</v>
      </c>
      <c r="J391" s="7">
        <f t="shared" si="208"/>
        <v>0.48438742236796539</v>
      </c>
      <c r="K391" s="6">
        <f t="shared" si="209"/>
        <v>0.8</v>
      </c>
      <c r="L391" s="32">
        <f t="shared" si="210"/>
        <v>0.62101114036509186</v>
      </c>
      <c r="M391" s="7">
        <f t="shared" si="211"/>
        <v>0.907104163848793</v>
      </c>
      <c r="N391" s="6">
        <f t="shared" si="212"/>
        <v>-0.5</v>
      </c>
      <c r="O391" s="32">
        <f t="shared" si="213"/>
        <v>-0.6734698908148754</v>
      </c>
      <c r="P391" s="7">
        <f t="shared" si="214"/>
        <v>-0.24302581180027566</v>
      </c>
      <c r="Q391" s="7" t="str">
        <f t="shared" si="215"/>
        <v>FAIL</v>
      </c>
    </row>
    <row r="392" spans="2:17">
      <c r="B392" s="12">
        <v>7</v>
      </c>
      <c r="C392" s="13">
        <f t="shared" si="204"/>
        <v>13</v>
      </c>
      <c r="D392" s="1"/>
      <c r="E392" s="12">
        <v>16</v>
      </c>
      <c r="F392" s="13">
        <f t="shared" si="205"/>
        <v>4</v>
      </c>
      <c r="G392" s="2"/>
      <c r="H392" s="6">
        <f t="shared" si="206"/>
        <v>0.35</v>
      </c>
      <c r="I392" s="32">
        <f t="shared" si="207"/>
        <v>0.20189973247796225</v>
      </c>
      <c r="J392" s="7">
        <f t="shared" si="208"/>
        <v>0.53404921680138639</v>
      </c>
      <c r="K392" s="6">
        <f t="shared" si="209"/>
        <v>0.8</v>
      </c>
      <c r="L392" s="32">
        <f t="shared" si="210"/>
        <v>0.62101114036509186</v>
      </c>
      <c r="M392" s="7">
        <f t="shared" si="211"/>
        <v>0.907104163848793</v>
      </c>
      <c r="N392" s="6">
        <f t="shared" si="212"/>
        <v>-0.45000000000000007</v>
      </c>
      <c r="O392" s="32">
        <f t="shared" si="213"/>
        <v>-0.63277032350425011</v>
      </c>
      <c r="P392" s="7">
        <f t="shared" si="214"/>
        <v>-0.19326837733031682</v>
      </c>
      <c r="Q392" s="7" t="str">
        <f t="shared" si="215"/>
        <v>FAIL</v>
      </c>
    </row>
    <row r="393" spans="2:17">
      <c r="B393" s="12">
        <v>8</v>
      </c>
      <c r="C393" s="13">
        <f t="shared" si="204"/>
        <v>12</v>
      </c>
      <c r="D393" s="1"/>
      <c r="E393" s="12">
        <v>16</v>
      </c>
      <c r="F393" s="13">
        <f t="shared" si="205"/>
        <v>4</v>
      </c>
      <c r="G393" s="2"/>
      <c r="H393" s="6">
        <f t="shared" si="206"/>
        <v>0.4</v>
      </c>
      <c r="I393" s="32">
        <f t="shared" si="207"/>
        <v>0.24198647075497337</v>
      </c>
      <c r="J393" s="7">
        <f t="shared" si="208"/>
        <v>0.5819809624059904</v>
      </c>
      <c r="K393" s="6">
        <f t="shared" si="209"/>
        <v>0.8</v>
      </c>
      <c r="L393" s="32">
        <f t="shared" si="210"/>
        <v>0.62101114036509186</v>
      </c>
      <c r="M393" s="7">
        <f t="shared" si="211"/>
        <v>0.907104163848793</v>
      </c>
      <c r="N393" s="6">
        <f t="shared" si="212"/>
        <v>-0.4</v>
      </c>
      <c r="O393" s="32">
        <f t="shared" si="213"/>
        <v>-0.59089153291389851</v>
      </c>
      <c r="P393" s="7">
        <f t="shared" si="214"/>
        <v>-0.14474702244319398</v>
      </c>
      <c r="Q393" s="7" t="str">
        <f t="shared" si="215"/>
        <v>FAIL</v>
      </c>
    </row>
    <row r="394" spans="2:17">
      <c r="B394" s="12">
        <v>9</v>
      </c>
      <c r="C394" s="13">
        <f t="shared" si="204"/>
        <v>11</v>
      </c>
      <c r="D394" s="1"/>
      <c r="E394" s="12">
        <v>16</v>
      </c>
      <c r="F394" s="13">
        <f t="shared" si="205"/>
        <v>4</v>
      </c>
      <c r="G394" s="2"/>
      <c r="H394" s="6">
        <f t="shared" si="206"/>
        <v>0.45</v>
      </c>
      <c r="I394" s="32">
        <f t="shared" si="207"/>
        <v>0.28368506621578338</v>
      </c>
      <c r="J394" s="7">
        <f t="shared" si="208"/>
        <v>0.62830085082679554</v>
      </c>
      <c r="K394" s="6">
        <f t="shared" si="209"/>
        <v>0.8</v>
      </c>
      <c r="L394" s="32">
        <f t="shared" si="210"/>
        <v>0.62101114036509186</v>
      </c>
      <c r="M394" s="7">
        <f t="shared" si="211"/>
        <v>0.907104163848793</v>
      </c>
      <c r="N394" s="6">
        <f t="shared" si="212"/>
        <v>-0.35000000000000003</v>
      </c>
      <c r="O394" s="32">
        <f t="shared" si="213"/>
        <v>-0.5478179949180495</v>
      </c>
      <c r="P394" s="7">
        <f t="shared" si="214"/>
        <v>-9.7357554478737618E-2</v>
      </c>
      <c r="Q394" s="7" t="str">
        <f t="shared" si="215"/>
        <v>FAIL</v>
      </c>
    </row>
    <row r="395" spans="2:17">
      <c r="B395" s="12">
        <v>10</v>
      </c>
      <c r="C395" s="13">
        <f t="shared" si="204"/>
        <v>10</v>
      </c>
      <c r="D395" s="1"/>
      <c r="E395" s="12">
        <v>16</v>
      </c>
      <c r="F395" s="13">
        <f t="shared" si="205"/>
        <v>4</v>
      </c>
      <c r="G395" s="2"/>
      <c r="H395" s="6">
        <f t="shared" si="206"/>
        <v>0.5</v>
      </c>
      <c r="I395" s="32">
        <f t="shared" si="207"/>
        <v>0.32693094787634341</v>
      </c>
      <c r="J395" s="7">
        <f t="shared" si="208"/>
        <v>0.6730734530478506</v>
      </c>
      <c r="K395" s="6">
        <f t="shared" si="209"/>
        <v>0.8</v>
      </c>
      <c r="L395" s="32">
        <f t="shared" si="210"/>
        <v>0.62101114036509186</v>
      </c>
      <c r="M395" s="7">
        <f t="shared" si="211"/>
        <v>0.907104163848793</v>
      </c>
      <c r="N395" s="6">
        <f t="shared" si="212"/>
        <v>-0.30000000000000004</v>
      </c>
      <c r="O395" s="32">
        <f t="shared" si="213"/>
        <v>-0.50352935590899428</v>
      </c>
      <c r="P395" s="7">
        <f t="shared" si="214"/>
        <v>-5.1019213545881431E-2</v>
      </c>
      <c r="Q395" s="7" t="str">
        <f t="shared" si="215"/>
        <v>FAIL</v>
      </c>
    </row>
    <row r="396" spans="2:17">
      <c r="B396" s="12">
        <v>11</v>
      </c>
      <c r="C396" s="13">
        <f t="shared" si="204"/>
        <v>9</v>
      </c>
      <c r="D396" s="1"/>
      <c r="E396" s="12">
        <v>16</v>
      </c>
      <c r="F396" s="13">
        <f t="shared" si="205"/>
        <v>4</v>
      </c>
      <c r="G396" s="2"/>
      <c r="H396" s="6">
        <f t="shared" si="206"/>
        <v>0.55000000000000004</v>
      </c>
      <c r="I396" s="32">
        <f t="shared" si="207"/>
        <v>0.37170355009739847</v>
      </c>
      <c r="J396" s="7">
        <f t="shared" si="208"/>
        <v>0.71631933470841069</v>
      </c>
      <c r="K396" s="6">
        <f t="shared" si="209"/>
        <v>0.8</v>
      </c>
      <c r="L396" s="32">
        <f t="shared" si="210"/>
        <v>0.62101114036509186</v>
      </c>
      <c r="M396" s="7">
        <f t="shared" si="211"/>
        <v>0.907104163848793</v>
      </c>
      <c r="N396" s="6">
        <f t="shared" si="212"/>
        <v>-0.25</v>
      </c>
      <c r="O396" s="32">
        <f t="shared" si="213"/>
        <v>-0.45799261035339689</v>
      </c>
      <c r="P396" s="7">
        <f t="shared" si="214"/>
        <v>-5.6659398052469612E-3</v>
      </c>
      <c r="Q396" s="7" t="str">
        <f t="shared" si="215"/>
        <v>FAIL</v>
      </c>
    </row>
    <row r="397" spans="2:17">
      <c r="B397" s="12">
        <v>12</v>
      </c>
      <c r="C397" s="13">
        <f t="shared" si="204"/>
        <v>8</v>
      </c>
      <c r="D397" s="1"/>
      <c r="E397" s="12">
        <v>16</v>
      </c>
      <c r="F397" s="13">
        <f t="shared" si="205"/>
        <v>4</v>
      </c>
      <c r="G397" s="2"/>
      <c r="H397" s="6">
        <f t="shared" si="206"/>
        <v>0.6</v>
      </c>
      <c r="I397" s="32">
        <f t="shared" si="207"/>
        <v>0.41802343851820367</v>
      </c>
      <c r="J397" s="7">
        <f t="shared" si="208"/>
        <v>0.75801793016922059</v>
      </c>
      <c r="K397" s="6">
        <f t="shared" si="209"/>
        <v>0.8</v>
      </c>
      <c r="L397" s="32">
        <f t="shared" si="210"/>
        <v>0.62101114036509186</v>
      </c>
      <c r="M397" s="7">
        <f t="shared" si="211"/>
        <v>0.907104163848793</v>
      </c>
      <c r="N397" s="6">
        <f t="shared" si="212"/>
        <v>-0.20000000000000007</v>
      </c>
      <c r="O397" s="32">
        <f t="shared" si="213"/>
        <v>-0.41115579755831266</v>
      </c>
      <c r="P397" s="7">
        <f t="shared" si="214"/>
        <v>3.8760713117484052E-2</v>
      </c>
      <c r="Q397" s="7" t="str">
        <f t="shared" si="215"/>
        <v>PASS</v>
      </c>
    </row>
    <row r="398" spans="2:17">
      <c r="B398" s="12">
        <v>13</v>
      </c>
      <c r="C398" s="13">
        <f t="shared" si="204"/>
        <v>7</v>
      </c>
      <c r="D398" s="1"/>
      <c r="E398" s="12">
        <v>16</v>
      </c>
      <c r="F398" s="13">
        <f t="shared" si="205"/>
        <v>4</v>
      </c>
      <c r="G398" s="2"/>
      <c r="H398" s="6">
        <f t="shared" si="206"/>
        <v>0.65</v>
      </c>
      <c r="I398" s="32">
        <f t="shared" si="207"/>
        <v>0.46595518412280768</v>
      </c>
      <c r="J398" s="7">
        <f t="shared" si="208"/>
        <v>0.79810466844623185</v>
      </c>
      <c r="K398" s="6">
        <f t="shared" si="209"/>
        <v>0.8</v>
      </c>
      <c r="L398" s="32">
        <f t="shared" si="210"/>
        <v>0.62101114036509186</v>
      </c>
      <c r="M398" s="7">
        <f t="shared" si="211"/>
        <v>0.907104163848793</v>
      </c>
      <c r="N398" s="6">
        <f t="shared" si="212"/>
        <v>-0.15000000000000002</v>
      </c>
      <c r="O398" s="32">
        <f t="shared" si="213"/>
        <v>-0.362940827849003</v>
      </c>
      <c r="P398" s="7">
        <f t="shared" si="214"/>
        <v>8.2318756644772673E-2</v>
      </c>
      <c r="Q398" s="7" t="str">
        <f t="shared" si="215"/>
        <v>PASS</v>
      </c>
    </row>
    <row r="399" spans="2:17">
      <c r="B399" s="12">
        <v>14</v>
      </c>
      <c r="C399" s="13">
        <f t="shared" si="204"/>
        <v>6</v>
      </c>
      <c r="D399" s="1"/>
      <c r="E399" s="12">
        <v>16</v>
      </c>
      <c r="F399" s="13">
        <f t="shared" si="205"/>
        <v>4</v>
      </c>
      <c r="G399" s="2"/>
      <c r="H399" s="6">
        <f t="shared" si="206"/>
        <v>0.7</v>
      </c>
      <c r="I399" s="32">
        <f t="shared" si="207"/>
        <v>0.51561697855622868</v>
      </c>
      <c r="J399" s="7">
        <f t="shared" si="208"/>
        <v>0.83646135789442599</v>
      </c>
      <c r="K399" s="6">
        <f t="shared" si="209"/>
        <v>0.8</v>
      </c>
      <c r="L399" s="32">
        <f t="shared" si="210"/>
        <v>0.62101114036509186</v>
      </c>
      <c r="M399" s="7">
        <f t="shared" si="211"/>
        <v>0.907104163848793</v>
      </c>
      <c r="N399" s="6">
        <f t="shared" si="212"/>
        <v>-0.10000000000000009</v>
      </c>
      <c r="O399" s="32">
        <f t="shared" si="213"/>
        <v>-0.31323320686629308</v>
      </c>
      <c r="P399" s="7">
        <f t="shared" si="214"/>
        <v>0.12507490769029642</v>
      </c>
      <c r="Q399" s="7" t="str">
        <f t="shared" si="215"/>
        <v>PASS</v>
      </c>
    </row>
    <row r="400" spans="2:17">
      <c r="B400" s="12">
        <v>15</v>
      </c>
      <c r="C400" s="13">
        <f t="shared" si="204"/>
        <v>5</v>
      </c>
      <c r="D400" s="1"/>
      <c r="E400" s="12">
        <v>16</v>
      </c>
      <c r="F400" s="13">
        <f t="shared" si="205"/>
        <v>4</v>
      </c>
      <c r="G400" s="2"/>
      <c r="H400" s="6">
        <f t="shared" si="206"/>
        <v>0.75</v>
      </c>
      <c r="I400" s="32">
        <f t="shared" si="207"/>
        <v>0.56720064128904046</v>
      </c>
      <c r="J400" s="7">
        <f t="shared" si="208"/>
        <v>0.87289617904322925</v>
      </c>
      <c r="K400" s="6">
        <f t="shared" si="209"/>
        <v>0.8</v>
      </c>
      <c r="L400" s="32">
        <f t="shared" si="210"/>
        <v>0.62101114036509186</v>
      </c>
      <c r="M400" s="7">
        <f t="shared" si="211"/>
        <v>0.907104163848793</v>
      </c>
      <c r="N400" s="6">
        <f t="shared" si="212"/>
        <v>-5.0000000000000044E-2</v>
      </c>
      <c r="O400" s="32">
        <f t="shared" si="213"/>
        <v>-0.26186530499090022</v>
      </c>
      <c r="P400" s="7">
        <f t="shared" si="214"/>
        <v>0.16711859132011314</v>
      </c>
      <c r="Q400" s="7" t="str">
        <f t="shared" si="215"/>
        <v>PASS</v>
      </c>
    </row>
    <row r="401" spans="2:17">
      <c r="B401" s="12">
        <v>16</v>
      </c>
      <c r="C401" s="13">
        <f t="shared" si="204"/>
        <v>4</v>
      </c>
      <c r="D401" s="1"/>
      <c r="E401" s="12">
        <v>16</v>
      </c>
      <c r="F401" s="13">
        <f t="shared" si="205"/>
        <v>4</v>
      </c>
      <c r="G401" s="2"/>
      <c r="H401" s="6">
        <f t="shared" si="206"/>
        <v>0.8</v>
      </c>
      <c r="I401" s="32">
        <f t="shared" si="207"/>
        <v>0.62101114036509186</v>
      </c>
      <c r="J401" s="7">
        <f t="shared" si="208"/>
        <v>0.907104163848793</v>
      </c>
      <c r="K401" s="6">
        <f t="shared" si="209"/>
        <v>0.8</v>
      </c>
      <c r="L401" s="32">
        <f t="shared" si="210"/>
        <v>0.62101114036509186</v>
      </c>
      <c r="M401" s="7">
        <f t="shared" si="211"/>
        <v>0.907104163848793</v>
      </c>
      <c r="N401" s="6">
        <f t="shared" si="212"/>
        <v>0</v>
      </c>
      <c r="O401" s="32">
        <f t="shared" si="213"/>
        <v>-0.20858646597311617</v>
      </c>
      <c r="P401" s="7">
        <f t="shared" si="214"/>
        <v>0.20858646597311617</v>
      </c>
      <c r="Q401" s="7" t="str">
        <f t="shared" si="215"/>
        <v>PASS</v>
      </c>
    </row>
    <row r="402" spans="2:17">
      <c r="B402" s="12">
        <v>17</v>
      </c>
      <c r="C402" s="13">
        <f t="shared" si="204"/>
        <v>3</v>
      </c>
      <c r="D402" s="1"/>
      <c r="E402" s="12">
        <v>16</v>
      </c>
      <c r="F402" s="13">
        <f t="shared" si="205"/>
        <v>4</v>
      </c>
      <c r="G402" s="2"/>
      <c r="H402" s="6">
        <f t="shared" si="206"/>
        <v>0.85</v>
      </c>
      <c r="I402" s="32">
        <f t="shared" si="207"/>
        <v>0.67754918969065736</v>
      </c>
      <c r="J402" s="7">
        <f t="shared" si="208"/>
        <v>0.93858459840484276</v>
      </c>
      <c r="K402" s="6">
        <f t="shared" si="209"/>
        <v>0.8</v>
      </c>
      <c r="L402" s="32">
        <f t="shared" si="210"/>
        <v>0.62101114036509186</v>
      </c>
      <c r="M402" s="7">
        <f t="shared" si="211"/>
        <v>0.907104163848793</v>
      </c>
      <c r="N402" s="6">
        <f t="shared" si="212"/>
        <v>4.9999999999999933E-2</v>
      </c>
      <c r="O402" s="32">
        <f t="shared" si="213"/>
        <v>-0.15300390116965237</v>
      </c>
      <c r="P402" s="7">
        <f t="shared" si="214"/>
        <v>0.24971039769614428</v>
      </c>
      <c r="Q402" s="7" t="str">
        <f t="shared" si="215"/>
        <v>PASS</v>
      </c>
    </row>
    <row r="403" spans="2:17">
      <c r="B403" s="12">
        <v>18</v>
      </c>
      <c r="C403" s="13">
        <f t="shared" si="204"/>
        <v>2</v>
      </c>
      <c r="D403" s="1"/>
      <c r="E403" s="12">
        <v>16</v>
      </c>
      <c r="F403" s="13">
        <f t="shared" si="205"/>
        <v>4</v>
      </c>
      <c r="G403" s="2"/>
      <c r="H403" s="6">
        <f t="shared" si="206"/>
        <v>0.9</v>
      </c>
      <c r="I403" s="32">
        <f t="shared" si="207"/>
        <v>0.7377076948078376</v>
      </c>
      <c r="J403" s="7">
        <f t="shared" si="208"/>
        <v>0.96644457716927756</v>
      </c>
      <c r="K403" s="6">
        <f t="shared" si="209"/>
        <v>0.8</v>
      </c>
      <c r="L403" s="32">
        <f t="shared" si="210"/>
        <v>0.62101114036509186</v>
      </c>
      <c r="M403" s="7">
        <f t="shared" si="211"/>
        <v>0.907104163848793</v>
      </c>
      <c r="N403" s="6">
        <f t="shared" si="212"/>
        <v>9.9999999999999978E-2</v>
      </c>
      <c r="O403" s="32">
        <f t="shared" si="213"/>
        <v>-9.4448178799224264E-2</v>
      </c>
      <c r="P403" s="7">
        <f t="shared" si="214"/>
        <v>0.29092379031595028</v>
      </c>
      <c r="Q403" s="7" t="str">
        <f t="shared" si="215"/>
        <v>PASS</v>
      </c>
    </row>
    <row r="404" spans="2:17">
      <c r="B404" s="12">
        <v>19</v>
      </c>
      <c r="C404" s="13">
        <f t="shared" si="204"/>
        <v>1</v>
      </c>
      <c r="D404" s="1"/>
      <c r="E404" s="12">
        <v>16</v>
      </c>
      <c r="F404" s="13">
        <f t="shared" si="205"/>
        <v>4</v>
      </c>
      <c r="G404" s="2"/>
      <c r="H404" s="6">
        <f t="shared" si="206"/>
        <v>0.95</v>
      </c>
      <c r="I404" s="32">
        <f t="shared" si="207"/>
        <v>0.80335937249454403</v>
      </c>
      <c r="J404" s="7">
        <f t="shared" si="208"/>
        <v>0.98881138336418628</v>
      </c>
      <c r="K404" s="6">
        <f t="shared" si="209"/>
        <v>0.8</v>
      </c>
      <c r="L404" s="32">
        <f t="shared" si="210"/>
        <v>0.62101114036509186</v>
      </c>
      <c r="M404" s="7">
        <f t="shared" si="211"/>
        <v>0.907104163848793</v>
      </c>
      <c r="N404" s="6">
        <f t="shared" si="212"/>
        <v>0.14999999999999991</v>
      </c>
      <c r="O404" s="32">
        <f t="shared" si="213"/>
        <v>-3.1589579956954023E-2</v>
      </c>
      <c r="P404" s="7">
        <f t="shared" si="214"/>
        <v>0.33314839707747013</v>
      </c>
      <c r="Q404" s="7" t="str">
        <f t="shared" si="215"/>
        <v>PASS</v>
      </c>
    </row>
    <row r="405" spans="2:17" ht="15" thickBot="1">
      <c r="B405" s="15">
        <v>20</v>
      </c>
      <c r="C405" s="14">
        <f t="shared" si="204"/>
        <v>0</v>
      </c>
      <c r="D405" s="1"/>
      <c r="E405" s="15">
        <v>16</v>
      </c>
      <c r="F405" s="14">
        <f t="shared" si="205"/>
        <v>4</v>
      </c>
      <c r="G405" s="2"/>
      <c r="H405" s="8">
        <f t="shared" si="206"/>
        <v>1</v>
      </c>
      <c r="I405" s="16">
        <f t="shared" si="207"/>
        <v>0.88018813951940023</v>
      </c>
      <c r="J405" s="9">
        <f t="shared" si="208"/>
        <v>1.0000011002209452</v>
      </c>
      <c r="K405" s="8">
        <f t="shared" si="209"/>
        <v>0.8</v>
      </c>
      <c r="L405" s="16">
        <f t="shared" si="210"/>
        <v>0.62101114036509186</v>
      </c>
      <c r="M405" s="9">
        <f t="shared" si="211"/>
        <v>0.907104163848793</v>
      </c>
      <c r="N405" s="8">
        <f t="shared" si="212"/>
        <v>0.19999999999999996</v>
      </c>
      <c r="O405" s="16">
        <f t="shared" si="213"/>
        <v>3.9294729938399942E-2</v>
      </c>
      <c r="P405" s="9">
        <f t="shared" si="214"/>
        <v>0.3789888596382896</v>
      </c>
      <c r="Q405" s="9" t="str">
        <f t="shared" si="215"/>
        <v>FAIL</v>
      </c>
    </row>
    <row r="406" spans="2:17" ht="15" thickBot="1"/>
    <row r="407" spans="2:17">
      <c r="B407" s="3">
        <v>0</v>
      </c>
      <c r="C407" s="11">
        <f>20-B407</f>
        <v>20</v>
      </c>
      <c r="D407" s="1"/>
      <c r="E407" s="3">
        <v>17</v>
      </c>
      <c r="F407" s="11">
        <f>20-E407</f>
        <v>3</v>
      </c>
      <c r="G407" s="2"/>
      <c r="H407" s="5">
        <f>B407/SUM(B407:C407)</f>
        <v>0</v>
      </c>
      <c r="I407" s="41">
        <f>((B407+1.3613)-(1.65*SQRT(B407-(B407^2/SUM(B407:C407))+0.6806)))/(SUM(B407:C407)+2.7225)</f>
        <v>3.3007032488877747E-6</v>
      </c>
      <c r="J407" s="4">
        <f>((B407+1.3613)+(1.65*SQRT(B407-(B407^2/SUM(B407:C407))+0.6806)))/(SUM(B407:C407)+2.7225)</f>
        <v>0.1198162614047938</v>
      </c>
      <c r="K407" s="5">
        <f>E407/SUM(E407:F407)</f>
        <v>0.85</v>
      </c>
      <c r="L407" s="41">
        <f>((E407+1.3613)-(1.65*SQRT(E407-(E407^2/SUM(E407:F407))+0.6806)))/(SUM(E407:F407)+2.7225)</f>
        <v>0.67754918969065736</v>
      </c>
      <c r="M407" s="4">
        <f>((E407+1.3613)+(1.65*SQRT(E407-(E407^2/SUM(E407:F407))+0.6806)))/(SUM(E407:F407)+2.7225)</f>
        <v>0.93858459840484276</v>
      </c>
      <c r="N407" s="5">
        <f>H407-K407</f>
        <v>-0.85</v>
      </c>
      <c r="O407" s="41">
        <f>N407-SQRT((H407-I407)^2+(K407-M407)^2)</f>
        <v>-0.93858459846633557</v>
      </c>
      <c r="P407" s="4">
        <f>N407+SQRT((H407-J407)^2+(K407-L407)^2)</f>
        <v>-0.64001138489582166</v>
      </c>
      <c r="Q407" s="4" t="str">
        <f>IF(O407*P407&lt;0,"PASS","FAIL")</f>
        <v>FAIL</v>
      </c>
    </row>
    <row r="408" spans="2:17">
      <c r="B408" s="12">
        <v>1</v>
      </c>
      <c r="C408" s="13">
        <f t="shared" ref="C408:C427" si="216">20-B408</f>
        <v>19</v>
      </c>
      <c r="D408" s="1"/>
      <c r="E408" s="12">
        <v>17</v>
      </c>
      <c r="F408" s="13">
        <f t="shared" ref="F408:F427" si="217">20-E408</f>
        <v>3</v>
      </c>
      <c r="G408" s="2"/>
      <c r="H408" s="6">
        <f t="shared" ref="H408:H427" si="218">B408/SUM(B408:C408)</f>
        <v>0.05</v>
      </c>
      <c r="I408" s="32">
        <f t="shared" ref="I408:I427" si="219">((B408+1.3613)-(1.65*SQRT(B408-(B408^2/SUM(B408:C408))+0.6806)))/(SUM(B408:C408)+2.7225)</f>
        <v>1.1193017560007713E-2</v>
      </c>
      <c r="J408" s="7">
        <f t="shared" ref="J408:J427" si="220">((B408+1.3613)+(1.65*SQRT(B408-(B408^2/SUM(B408:C408))+0.6806)))/(SUM(B408:C408)+2.7225)</f>
        <v>0.19664502842965012</v>
      </c>
      <c r="K408" s="6">
        <f t="shared" ref="K408:K427" si="221">E408/SUM(E408:F408)</f>
        <v>0.85</v>
      </c>
      <c r="L408" s="32">
        <f t="shared" ref="L408:L427" si="222">((E408+1.3613)-(1.65*SQRT(E408-(E408^2/SUM(E408:F408))+0.6806)))/(SUM(E408:F408)+2.7225)</f>
        <v>0.67754918969065736</v>
      </c>
      <c r="M408" s="7">
        <f t="shared" ref="M408:M427" si="223">((E408+1.3613)+(1.65*SQRT(E408-(E408^2/SUM(E408:F408))+0.6806)))/(SUM(E408:F408)+2.7225)</f>
        <v>0.93858459840484276</v>
      </c>
      <c r="N408" s="6">
        <f t="shared" ref="N408:N427" si="224">H408-K408</f>
        <v>-0.79999999999999993</v>
      </c>
      <c r="O408" s="32">
        <f t="shared" ref="O408:O427" si="225">N408-SQRT((H408-I408)^2+(K408-M408)^2)</f>
        <v>-0.8967120104260331</v>
      </c>
      <c r="P408" s="7">
        <f t="shared" ref="P408:P427" si="226">N408+SQRT((H408-J408)^2+(K408-L408)^2)</f>
        <v>-0.57362852136481113</v>
      </c>
      <c r="Q408" s="7" t="str">
        <f t="shared" ref="Q408:Q427" si="227">IF(O408*P408&lt;0,"PASS","FAIL")</f>
        <v>FAIL</v>
      </c>
    </row>
    <row r="409" spans="2:17">
      <c r="B409" s="12">
        <v>2</v>
      </c>
      <c r="C409" s="13">
        <f t="shared" si="216"/>
        <v>18</v>
      </c>
      <c r="D409" s="1"/>
      <c r="E409" s="12">
        <v>17</v>
      </c>
      <c r="F409" s="13">
        <f t="shared" si="217"/>
        <v>3</v>
      </c>
      <c r="G409" s="2"/>
      <c r="H409" s="6">
        <f t="shared" si="218"/>
        <v>0.1</v>
      </c>
      <c r="I409" s="32">
        <f t="shared" si="219"/>
        <v>3.3559823754916465E-2</v>
      </c>
      <c r="J409" s="7">
        <f t="shared" si="220"/>
        <v>0.26229670611635653</v>
      </c>
      <c r="K409" s="6">
        <f t="shared" si="221"/>
        <v>0.85</v>
      </c>
      <c r="L409" s="32">
        <f t="shared" si="222"/>
        <v>0.67754918969065736</v>
      </c>
      <c r="M409" s="7">
        <f t="shared" si="223"/>
        <v>0.93858459840484276</v>
      </c>
      <c r="N409" s="6">
        <f t="shared" si="224"/>
        <v>-0.75</v>
      </c>
      <c r="O409" s="32">
        <f t="shared" si="225"/>
        <v>-0.8607317844795479</v>
      </c>
      <c r="P409" s="7">
        <f t="shared" si="226"/>
        <v>-0.51318888794533346</v>
      </c>
      <c r="Q409" s="7" t="str">
        <f t="shared" si="227"/>
        <v>FAIL</v>
      </c>
    </row>
    <row r="410" spans="2:17">
      <c r="B410" s="12">
        <v>3</v>
      </c>
      <c r="C410" s="13">
        <f t="shared" si="216"/>
        <v>17</v>
      </c>
      <c r="D410" s="1"/>
      <c r="E410" s="12">
        <v>17</v>
      </c>
      <c r="F410" s="13">
        <f t="shared" si="217"/>
        <v>3</v>
      </c>
      <c r="G410" s="2"/>
      <c r="H410" s="6">
        <f t="shared" si="218"/>
        <v>0.15</v>
      </c>
      <c r="I410" s="32">
        <f t="shared" si="219"/>
        <v>6.1419802519351356E-2</v>
      </c>
      <c r="J410" s="7">
        <f t="shared" si="220"/>
        <v>0.32245521123353676</v>
      </c>
      <c r="K410" s="6">
        <f t="shared" si="221"/>
        <v>0.85</v>
      </c>
      <c r="L410" s="32">
        <f t="shared" si="222"/>
        <v>0.67754918969065736</v>
      </c>
      <c r="M410" s="7">
        <f t="shared" si="223"/>
        <v>0.93858459840484276</v>
      </c>
      <c r="N410" s="6">
        <f t="shared" si="224"/>
        <v>-0.7</v>
      </c>
      <c r="O410" s="32">
        <f t="shared" si="225"/>
        <v>-0.82527442859681288</v>
      </c>
      <c r="P410" s="7">
        <f t="shared" si="226"/>
        <v>-0.45611461327510278</v>
      </c>
      <c r="Q410" s="7" t="str">
        <f t="shared" si="227"/>
        <v>FAIL</v>
      </c>
    </row>
    <row r="411" spans="2:17">
      <c r="B411" s="12">
        <v>4</v>
      </c>
      <c r="C411" s="13">
        <f t="shared" si="216"/>
        <v>16</v>
      </c>
      <c r="D411" s="1"/>
      <c r="E411" s="12">
        <v>17</v>
      </c>
      <c r="F411" s="13">
        <f t="shared" si="217"/>
        <v>3</v>
      </c>
      <c r="G411" s="2"/>
      <c r="H411" s="6">
        <f t="shared" si="218"/>
        <v>0.2</v>
      </c>
      <c r="I411" s="32">
        <f t="shared" si="219"/>
        <v>9.2900237075401015E-2</v>
      </c>
      <c r="J411" s="7">
        <f t="shared" si="220"/>
        <v>0.37899326055910226</v>
      </c>
      <c r="K411" s="6">
        <f t="shared" si="221"/>
        <v>0.85</v>
      </c>
      <c r="L411" s="32">
        <f t="shared" si="222"/>
        <v>0.67754918969065736</v>
      </c>
      <c r="M411" s="7">
        <f t="shared" si="223"/>
        <v>0.93858459840484276</v>
      </c>
      <c r="N411" s="6">
        <f t="shared" si="224"/>
        <v>-0.64999999999999991</v>
      </c>
      <c r="O411" s="32">
        <f t="shared" si="225"/>
        <v>-0.78898773432592018</v>
      </c>
      <c r="P411" s="7">
        <f t="shared" si="226"/>
        <v>-0.40144845745413771</v>
      </c>
      <c r="Q411" s="7" t="str">
        <f t="shared" si="227"/>
        <v>FAIL</v>
      </c>
    </row>
    <row r="412" spans="2:17">
      <c r="B412" s="12">
        <v>5</v>
      </c>
      <c r="C412" s="13">
        <f t="shared" si="216"/>
        <v>15</v>
      </c>
      <c r="D412" s="1"/>
      <c r="E412" s="12">
        <v>17</v>
      </c>
      <c r="F412" s="13">
        <f t="shared" si="217"/>
        <v>3</v>
      </c>
      <c r="G412" s="2"/>
      <c r="H412" s="6">
        <f t="shared" si="218"/>
        <v>0.25</v>
      </c>
      <c r="I412" s="32">
        <f t="shared" si="219"/>
        <v>0.12710822188096477</v>
      </c>
      <c r="J412" s="7">
        <f t="shared" si="220"/>
        <v>0.43280375963515361</v>
      </c>
      <c r="K412" s="6">
        <f t="shared" si="221"/>
        <v>0.85</v>
      </c>
      <c r="L412" s="32">
        <f t="shared" si="222"/>
        <v>0.67754918969065736</v>
      </c>
      <c r="M412" s="7">
        <f t="shared" si="223"/>
        <v>0.93858459840484276</v>
      </c>
      <c r="N412" s="6">
        <f t="shared" si="224"/>
        <v>-0.6</v>
      </c>
      <c r="O412" s="32">
        <f t="shared" si="225"/>
        <v>-0.75149132055601553</v>
      </c>
      <c r="P412" s="7">
        <f t="shared" si="226"/>
        <v>-0.34869043688491302</v>
      </c>
      <c r="Q412" s="7" t="str">
        <f t="shared" si="227"/>
        <v>FAIL</v>
      </c>
    </row>
    <row r="413" spans="2:17">
      <c r="B413" s="12">
        <v>6</v>
      </c>
      <c r="C413" s="13">
        <f t="shared" si="216"/>
        <v>14</v>
      </c>
      <c r="D413" s="1"/>
      <c r="E413" s="12">
        <v>17</v>
      </c>
      <c r="F413" s="13">
        <f t="shared" si="217"/>
        <v>3</v>
      </c>
      <c r="G413" s="2"/>
      <c r="H413" s="6">
        <f t="shared" si="218"/>
        <v>0.3</v>
      </c>
      <c r="I413" s="32">
        <f t="shared" si="219"/>
        <v>0.16354304302976813</v>
      </c>
      <c r="J413" s="7">
        <f t="shared" si="220"/>
        <v>0.48438742236796539</v>
      </c>
      <c r="K413" s="6">
        <f t="shared" si="221"/>
        <v>0.85</v>
      </c>
      <c r="L413" s="32">
        <f t="shared" si="222"/>
        <v>0.67754918969065736</v>
      </c>
      <c r="M413" s="7">
        <f t="shared" si="223"/>
        <v>0.93858459840484276</v>
      </c>
      <c r="N413" s="6">
        <f t="shared" si="224"/>
        <v>-0.55000000000000004</v>
      </c>
      <c r="O413" s="32">
        <f t="shared" si="225"/>
        <v>-0.71268906595135095</v>
      </c>
      <c r="P413" s="7">
        <f t="shared" si="226"/>
        <v>-0.29753613426105646</v>
      </c>
      <c r="Q413" s="7" t="str">
        <f t="shared" si="227"/>
        <v>FAIL</v>
      </c>
    </row>
    <row r="414" spans="2:17">
      <c r="B414" s="12">
        <v>7</v>
      </c>
      <c r="C414" s="13">
        <f t="shared" si="216"/>
        <v>13</v>
      </c>
      <c r="D414" s="1"/>
      <c r="E414" s="12">
        <v>17</v>
      </c>
      <c r="F414" s="13">
        <f t="shared" si="217"/>
        <v>3</v>
      </c>
      <c r="G414" s="2"/>
      <c r="H414" s="6">
        <f t="shared" si="218"/>
        <v>0.35</v>
      </c>
      <c r="I414" s="32">
        <f t="shared" si="219"/>
        <v>0.20189973247796225</v>
      </c>
      <c r="J414" s="7">
        <f t="shared" si="220"/>
        <v>0.53404921680138639</v>
      </c>
      <c r="K414" s="6">
        <f t="shared" si="221"/>
        <v>0.85</v>
      </c>
      <c r="L414" s="32">
        <f t="shared" si="222"/>
        <v>0.67754918969065736</v>
      </c>
      <c r="M414" s="7">
        <f t="shared" si="223"/>
        <v>0.93858459840484276</v>
      </c>
      <c r="N414" s="6">
        <f t="shared" si="224"/>
        <v>-0.5</v>
      </c>
      <c r="O414" s="32">
        <f t="shared" si="225"/>
        <v>-0.67257149334303856</v>
      </c>
      <c r="P414" s="7">
        <f t="shared" si="226"/>
        <v>-0.24778303748250274</v>
      </c>
      <c r="Q414" s="7" t="str">
        <f t="shared" si="227"/>
        <v>FAIL</v>
      </c>
    </row>
    <row r="415" spans="2:17">
      <c r="B415" s="12">
        <v>8</v>
      </c>
      <c r="C415" s="13">
        <f t="shared" si="216"/>
        <v>12</v>
      </c>
      <c r="D415" s="1"/>
      <c r="E415" s="12">
        <v>17</v>
      </c>
      <c r="F415" s="13">
        <f t="shared" si="217"/>
        <v>3</v>
      </c>
      <c r="G415" s="2"/>
      <c r="H415" s="6">
        <f t="shared" si="218"/>
        <v>0.4</v>
      </c>
      <c r="I415" s="32">
        <f t="shared" si="219"/>
        <v>0.24198647075497337</v>
      </c>
      <c r="J415" s="7">
        <f t="shared" si="220"/>
        <v>0.5819809624059904</v>
      </c>
      <c r="K415" s="6">
        <f t="shared" si="221"/>
        <v>0.85</v>
      </c>
      <c r="L415" s="32">
        <f t="shared" si="222"/>
        <v>0.67754918969065736</v>
      </c>
      <c r="M415" s="7">
        <f t="shared" si="223"/>
        <v>0.93858459840484276</v>
      </c>
      <c r="N415" s="6">
        <f t="shared" si="224"/>
        <v>-0.44999999999999996</v>
      </c>
      <c r="O415" s="32">
        <f t="shared" si="225"/>
        <v>-0.63115050786298155</v>
      </c>
      <c r="P415" s="7">
        <f t="shared" si="226"/>
        <v>-0.1992883077027332</v>
      </c>
      <c r="Q415" s="7" t="str">
        <f t="shared" si="227"/>
        <v>FAIL</v>
      </c>
    </row>
    <row r="416" spans="2:17">
      <c r="B416" s="12">
        <v>9</v>
      </c>
      <c r="C416" s="13">
        <f t="shared" si="216"/>
        <v>11</v>
      </c>
      <c r="D416" s="1"/>
      <c r="E416" s="12">
        <v>17</v>
      </c>
      <c r="F416" s="13">
        <f t="shared" si="217"/>
        <v>3</v>
      </c>
      <c r="G416" s="2"/>
      <c r="H416" s="6">
        <f t="shared" si="218"/>
        <v>0.45</v>
      </c>
      <c r="I416" s="32">
        <f t="shared" si="219"/>
        <v>0.28368506621578338</v>
      </c>
      <c r="J416" s="7">
        <f t="shared" si="220"/>
        <v>0.62830085082679554</v>
      </c>
      <c r="K416" s="6">
        <f t="shared" si="221"/>
        <v>0.85</v>
      </c>
      <c r="L416" s="32">
        <f t="shared" si="222"/>
        <v>0.67754918969065736</v>
      </c>
      <c r="M416" s="7">
        <f t="shared" si="223"/>
        <v>0.93858459840484276</v>
      </c>
      <c r="N416" s="6">
        <f t="shared" si="224"/>
        <v>-0.39999999999999997</v>
      </c>
      <c r="O416" s="32">
        <f t="shared" si="225"/>
        <v>-0.58843536895762327</v>
      </c>
      <c r="P416" s="7">
        <f t="shared" si="226"/>
        <v>-0.15194662795698971</v>
      </c>
      <c r="Q416" s="7" t="str">
        <f t="shared" si="227"/>
        <v>FAIL</v>
      </c>
    </row>
    <row r="417" spans="2:17">
      <c r="B417" s="12">
        <v>10</v>
      </c>
      <c r="C417" s="13">
        <f t="shared" si="216"/>
        <v>10</v>
      </c>
      <c r="D417" s="1"/>
      <c r="E417" s="12">
        <v>17</v>
      </c>
      <c r="F417" s="13">
        <f t="shared" si="217"/>
        <v>3</v>
      </c>
      <c r="G417" s="2"/>
      <c r="H417" s="6">
        <f t="shared" si="218"/>
        <v>0.5</v>
      </c>
      <c r="I417" s="32">
        <f t="shared" si="219"/>
        <v>0.32693094787634341</v>
      </c>
      <c r="J417" s="7">
        <f t="shared" si="220"/>
        <v>0.6730734530478506</v>
      </c>
      <c r="K417" s="6">
        <f t="shared" si="221"/>
        <v>0.85</v>
      </c>
      <c r="L417" s="32">
        <f t="shared" si="222"/>
        <v>0.67754918969065736</v>
      </c>
      <c r="M417" s="7">
        <f t="shared" si="223"/>
        <v>0.93858459840484276</v>
      </c>
      <c r="N417" s="6">
        <f t="shared" si="224"/>
        <v>-0.35</v>
      </c>
      <c r="O417" s="32">
        <f t="shared" si="225"/>
        <v>-0.54442254981747418</v>
      </c>
      <c r="P417" s="7">
        <f t="shared" si="226"/>
        <v>-0.10567705362316984</v>
      </c>
      <c r="Q417" s="7" t="str">
        <f t="shared" si="227"/>
        <v>FAIL</v>
      </c>
    </row>
    <row r="418" spans="2:17">
      <c r="B418" s="12">
        <v>11</v>
      </c>
      <c r="C418" s="13">
        <f t="shared" si="216"/>
        <v>9</v>
      </c>
      <c r="D418" s="1"/>
      <c r="E418" s="12">
        <v>17</v>
      </c>
      <c r="F418" s="13">
        <f t="shared" si="217"/>
        <v>3</v>
      </c>
      <c r="G418" s="2"/>
      <c r="H418" s="6">
        <f t="shared" si="218"/>
        <v>0.55000000000000004</v>
      </c>
      <c r="I418" s="32">
        <f t="shared" si="219"/>
        <v>0.37170355009739847</v>
      </c>
      <c r="J418" s="7">
        <f t="shared" si="220"/>
        <v>0.71631933470841069</v>
      </c>
      <c r="K418" s="6">
        <f t="shared" si="221"/>
        <v>0.85</v>
      </c>
      <c r="L418" s="32">
        <f t="shared" si="222"/>
        <v>0.67754918969065736</v>
      </c>
      <c r="M418" s="7">
        <f t="shared" si="223"/>
        <v>0.93858459840484276</v>
      </c>
      <c r="N418" s="6">
        <f t="shared" si="224"/>
        <v>-0.29999999999999993</v>
      </c>
      <c r="O418" s="32">
        <f t="shared" si="225"/>
        <v>-0.4990900678648188</v>
      </c>
      <c r="P418" s="7">
        <f t="shared" si="226"/>
        <v>-6.0414100844400215E-2</v>
      </c>
      <c r="Q418" s="7" t="str">
        <f t="shared" si="227"/>
        <v>FAIL</v>
      </c>
    </row>
    <row r="419" spans="2:17">
      <c r="B419" s="12">
        <v>12</v>
      </c>
      <c r="C419" s="13">
        <f t="shared" si="216"/>
        <v>8</v>
      </c>
      <c r="D419" s="1"/>
      <c r="E419" s="12">
        <v>17</v>
      </c>
      <c r="F419" s="13">
        <f t="shared" si="217"/>
        <v>3</v>
      </c>
      <c r="G419" s="2"/>
      <c r="H419" s="6">
        <f t="shared" si="218"/>
        <v>0.6</v>
      </c>
      <c r="I419" s="32">
        <f t="shared" si="219"/>
        <v>0.41802343851820367</v>
      </c>
      <c r="J419" s="7">
        <f t="shared" si="220"/>
        <v>0.75801793016922059</v>
      </c>
      <c r="K419" s="6">
        <f t="shared" si="221"/>
        <v>0.85</v>
      </c>
      <c r="L419" s="32">
        <f t="shared" si="222"/>
        <v>0.67754918969065736</v>
      </c>
      <c r="M419" s="7">
        <f t="shared" si="223"/>
        <v>0.93858459840484276</v>
      </c>
      <c r="N419" s="6">
        <f t="shared" si="224"/>
        <v>-0.25</v>
      </c>
      <c r="O419" s="32">
        <f t="shared" si="225"/>
        <v>-0.4523924405784101</v>
      </c>
      <c r="P419" s="7">
        <f t="shared" si="226"/>
        <v>-1.6100559574603629E-2</v>
      </c>
      <c r="Q419" s="7" t="str">
        <f t="shared" si="227"/>
        <v>FAIL</v>
      </c>
    </row>
    <row r="420" spans="2:17">
      <c r="B420" s="12">
        <v>13</v>
      </c>
      <c r="C420" s="13">
        <f t="shared" si="216"/>
        <v>7</v>
      </c>
      <c r="D420" s="1"/>
      <c r="E420" s="12">
        <v>17</v>
      </c>
      <c r="F420" s="13">
        <f t="shared" si="217"/>
        <v>3</v>
      </c>
      <c r="G420" s="2"/>
      <c r="H420" s="6">
        <f t="shared" si="218"/>
        <v>0.65</v>
      </c>
      <c r="I420" s="32">
        <f t="shared" si="219"/>
        <v>0.46595518412280768</v>
      </c>
      <c r="J420" s="7">
        <f t="shared" si="220"/>
        <v>0.79810466844623185</v>
      </c>
      <c r="K420" s="6">
        <f t="shared" si="221"/>
        <v>0.85</v>
      </c>
      <c r="L420" s="32">
        <f t="shared" si="222"/>
        <v>0.67754918969065736</v>
      </c>
      <c r="M420" s="7">
        <f t="shared" si="223"/>
        <v>0.93858459840484276</v>
      </c>
      <c r="N420" s="6">
        <f t="shared" si="224"/>
        <v>-0.19999999999999996</v>
      </c>
      <c r="O420" s="32">
        <f t="shared" si="225"/>
        <v>-0.40425407052447426</v>
      </c>
      <c r="P420" s="7">
        <f t="shared" si="226"/>
        <v>2.7319763311325712E-2</v>
      </c>
      <c r="Q420" s="7" t="str">
        <f t="shared" si="227"/>
        <v>PASS</v>
      </c>
    </row>
    <row r="421" spans="2:17">
      <c r="B421" s="12">
        <v>14</v>
      </c>
      <c r="C421" s="13">
        <f t="shared" si="216"/>
        <v>6</v>
      </c>
      <c r="D421" s="1"/>
      <c r="E421" s="12">
        <v>17</v>
      </c>
      <c r="F421" s="13">
        <f t="shared" si="217"/>
        <v>3</v>
      </c>
      <c r="G421" s="2"/>
      <c r="H421" s="6">
        <f t="shared" si="218"/>
        <v>0.7</v>
      </c>
      <c r="I421" s="32">
        <f t="shared" si="219"/>
        <v>0.51561697855622868</v>
      </c>
      <c r="J421" s="7">
        <f t="shared" si="220"/>
        <v>0.83646135789442599</v>
      </c>
      <c r="K421" s="6">
        <f t="shared" si="221"/>
        <v>0.85</v>
      </c>
      <c r="L421" s="32">
        <f t="shared" si="222"/>
        <v>0.67754918969065736</v>
      </c>
      <c r="M421" s="7">
        <f t="shared" si="223"/>
        <v>0.93858459840484276</v>
      </c>
      <c r="N421" s="6">
        <f t="shared" si="224"/>
        <v>-0.15000000000000002</v>
      </c>
      <c r="O421" s="32">
        <f t="shared" si="225"/>
        <v>-0.35455886602951608</v>
      </c>
      <c r="P421" s="7">
        <f t="shared" si="226"/>
        <v>6.9911309792696857E-2</v>
      </c>
      <c r="Q421" s="7" t="str">
        <f t="shared" si="227"/>
        <v>PASS</v>
      </c>
    </row>
    <row r="422" spans="2:17">
      <c r="B422" s="12">
        <v>15</v>
      </c>
      <c r="C422" s="13">
        <f t="shared" si="216"/>
        <v>5</v>
      </c>
      <c r="D422" s="1"/>
      <c r="E422" s="12">
        <v>17</v>
      </c>
      <c r="F422" s="13">
        <f t="shared" si="217"/>
        <v>3</v>
      </c>
      <c r="G422" s="2"/>
      <c r="H422" s="6">
        <f t="shared" si="218"/>
        <v>0.75</v>
      </c>
      <c r="I422" s="32">
        <f t="shared" si="219"/>
        <v>0.56720064128904046</v>
      </c>
      <c r="J422" s="7">
        <f t="shared" si="220"/>
        <v>0.87289617904322925</v>
      </c>
      <c r="K422" s="6">
        <f t="shared" si="221"/>
        <v>0.85</v>
      </c>
      <c r="L422" s="32">
        <f t="shared" si="222"/>
        <v>0.67754918969065736</v>
      </c>
      <c r="M422" s="7">
        <f t="shared" si="223"/>
        <v>0.93858459840484276</v>
      </c>
      <c r="N422" s="6">
        <f t="shared" si="224"/>
        <v>-9.9999999999999978E-2</v>
      </c>
      <c r="O422" s="32">
        <f t="shared" si="225"/>
        <v>-0.30313255923087595</v>
      </c>
      <c r="P422" s="7">
        <f t="shared" si="226"/>
        <v>0.11176107479840183</v>
      </c>
      <c r="Q422" s="7" t="str">
        <f t="shared" si="227"/>
        <v>PASS</v>
      </c>
    </row>
    <row r="423" spans="2:17">
      <c r="B423" s="12">
        <v>16</v>
      </c>
      <c r="C423" s="13">
        <f t="shared" si="216"/>
        <v>4</v>
      </c>
      <c r="D423" s="1"/>
      <c r="E423" s="12">
        <v>17</v>
      </c>
      <c r="F423" s="13">
        <f t="shared" si="217"/>
        <v>3</v>
      </c>
      <c r="G423" s="2"/>
      <c r="H423" s="6">
        <f t="shared" si="218"/>
        <v>0.8</v>
      </c>
      <c r="I423" s="32">
        <f t="shared" si="219"/>
        <v>0.62101114036509186</v>
      </c>
      <c r="J423" s="7">
        <f t="shared" si="220"/>
        <v>0.907104163848793</v>
      </c>
      <c r="K423" s="6">
        <f t="shared" si="221"/>
        <v>0.85</v>
      </c>
      <c r="L423" s="32">
        <f t="shared" si="222"/>
        <v>0.67754918969065736</v>
      </c>
      <c r="M423" s="7">
        <f t="shared" si="223"/>
        <v>0.93858459840484276</v>
      </c>
      <c r="N423" s="6">
        <f t="shared" si="224"/>
        <v>-4.9999999999999933E-2</v>
      </c>
      <c r="O423" s="32">
        <f t="shared" si="225"/>
        <v>-0.24971039769614428</v>
      </c>
      <c r="P423" s="7">
        <f t="shared" si="226"/>
        <v>0.15300390116965237</v>
      </c>
      <c r="Q423" s="7" t="str">
        <f t="shared" si="227"/>
        <v>PASS</v>
      </c>
    </row>
    <row r="424" spans="2:17">
      <c r="B424" s="12">
        <v>17</v>
      </c>
      <c r="C424" s="13">
        <f t="shared" si="216"/>
        <v>3</v>
      </c>
      <c r="D424" s="1"/>
      <c r="E424" s="12">
        <v>17</v>
      </c>
      <c r="F424" s="13">
        <f t="shared" si="217"/>
        <v>3</v>
      </c>
      <c r="G424" s="2"/>
      <c r="H424" s="6">
        <f t="shared" si="218"/>
        <v>0.85</v>
      </c>
      <c r="I424" s="32">
        <f t="shared" si="219"/>
        <v>0.67754918969065736</v>
      </c>
      <c r="J424" s="7">
        <f t="shared" si="220"/>
        <v>0.93858459840484276</v>
      </c>
      <c r="K424" s="6">
        <f t="shared" si="221"/>
        <v>0.85</v>
      </c>
      <c r="L424" s="32">
        <f t="shared" si="222"/>
        <v>0.67754918969065736</v>
      </c>
      <c r="M424" s="7">
        <f t="shared" si="223"/>
        <v>0.93858459840484276</v>
      </c>
      <c r="N424" s="6">
        <f t="shared" si="224"/>
        <v>0</v>
      </c>
      <c r="O424" s="32">
        <f t="shared" si="225"/>
        <v>-0.19387241436289007</v>
      </c>
      <c r="P424" s="7">
        <f t="shared" si="226"/>
        <v>0.19387241436289007</v>
      </c>
      <c r="Q424" s="7" t="str">
        <f t="shared" si="227"/>
        <v>PASS</v>
      </c>
    </row>
    <row r="425" spans="2:17">
      <c r="B425" s="12">
        <v>18</v>
      </c>
      <c r="C425" s="13">
        <f t="shared" si="216"/>
        <v>2</v>
      </c>
      <c r="D425" s="1"/>
      <c r="E425" s="12">
        <v>17</v>
      </c>
      <c r="F425" s="13">
        <f t="shared" si="217"/>
        <v>3</v>
      </c>
      <c r="G425" s="2"/>
      <c r="H425" s="6">
        <f t="shared" si="218"/>
        <v>0.9</v>
      </c>
      <c r="I425" s="32">
        <f t="shared" si="219"/>
        <v>0.7377076948078376</v>
      </c>
      <c r="J425" s="7">
        <f t="shared" si="220"/>
        <v>0.96644457716927756</v>
      </c>
      <c r="K425" s="6">
        <f t="shared" si="221"/>
        <v>0.85</v>
      </c>
      <c r="L425" s="32">
        <f t="shared" si="222"/>
        <v>0.67754918969065736</v>
      </c>
      <c r="M425" s="7">
        <f t="shared" si="223"/>
        <v>0.93858459840484276</v>
      </c>
      <c r="N425" s="6">
        <f t="shared" si="224"/>
        <v>5.0000000000000044E-2</v>
      </c>
      <c r="O425" s="32">
        <f t="shared" si="225"/>
        <v>-0.13489462782659006</v>
      </c>
      <c r="P425" s="7">
        <f t="shared" si="226"/>
        <v>0.23480845167781955</v>
      </c>
      <c r="Q425" s="7" t="str">
        <f t="shared" si="227"/>
        <v>PASS</v>
      </c>
    </row>
    <row r="426" spans="2:17">
      <c r="B426" s="12">
        <v>19</v>
      </c>
      <c r="C426" s="13">
        <f t="shared" si="216"/>
        <v>1</v>
      </c>
      <c r="D426" s="1"/>
      <c r="E426" s="12">
        <v>17</v>
      </c>
      <c r="F426" s="13">
        <f t="shared" si="217"/>
        <v>3</v>
      </c>
      <c r="G426" s="2"/>
      <c r="H426" s="6">
        <f t="shared" si="218"/>
        <v>0.95</v>
      </c>
      <c r="I426" s="32">
        <f t="shared" si="219"/>
        <v>0.80335937249454403</v>
      </c>
      <c r="J426" s="7">
        <f t="shared" si="220"/>
        <v>0.98881138336418628</v>
      </c>
      <c r="K426" s="6">
        <f t="shared" si="221"/>
        <v>0.85</v>
      </c>
      <c r="L426" s="32">
        <f t="shared" si="222"/>
        <v>0.67754918969065736</v>
      </c>
      <c r="M426" s="7">
        <f t="shared" si="223"/>
        <v>0.93858459840484276</v>
      </c>
      <c r="N426" s="6">
        <f t="shared" si="224"/>
        <v>9.9999999999999978E-2</v>
      </c>
      <c r="O426" s="32">
        <f t="shared" si="225"/>
        <v>-7.1320473702768977E-2</v>
      </c>
      <c r="P426" s="7">
        <f t="shared" si="226"/>
        <v>0.27676426520931968</v>
      </c>
      <c r="Q426" s="7" t="str">
        <f t="shared" si="227"/>
        <v>PASS</v>
      </c>
    </row>
    <row r="427" spans="2:17" ht="15" thickBot="1">
      <c r="B427" s="15">
        <v>20</v>
      </c>
      <c r="C427" s="14">
        <f t="shared" si="216"/>
        <v>0</v>
      </c>
      <c r="D427" s="1"/>
      <c r="E427" s="15">
        <v>17</v>
      </c>
      <c r="F427" s="14">
        <f t="shared" si="217"/>
        <v>3</v>
      </c>
      <c r="G427" s="2"/>
      <c r="H427" s="8">
        <f t="shared" si="218"/>
        <v>1</v>
      </c>
      <c r="I427" s="16">
        <f t="shared" si="219"/>
        <v>0.88018813951940023</v>
      </c>
      <c r="J427" s="9">
        <f t="shared" si="220"/>
        <v>1.0000011002209452</v>
      </c>
      <c r="K427" s="8">
        <f t="shared" si="221"/>
        <v>0.85</v>
      </c>
      <c r="L427" s="16">
        <f t="shared" si="222"/>
        <v>0.67754918969065736</v>
      </c>
      <c r="M427" s="9">
        <f t="shared" si="223"/>
        <v>0.93858459840484276</v>
      </c>
      <c r="N427" s="8">
        <f t="shared" si="224"/>
        <v>0.15000000000000002</v>
      </c>
      <c r="O427" s="16">
        <f t="shared" si="225"/>
        <v>9.9626519321746598E-4</v>
      </c>
      <c r="P427" s="9">
        <f t="shared" si="226"/>
        <v>0.32245081031285228</v>
      </c>
      <c r="Q427" s="9" t="str">
        <f t="shared" si="227"/>
        <v>FAIL</v>
      </c>
    </row>
    <row r="428" spans="2:17" ht="15" thickBot="1"/>
    <row r="429" spans="2:17">
      <c r="B429" s="3">
        <v>0</v>
      </c>
      <c r="C429" s="11">
        <f>20-B429</f>
        <v>20</v>
      </c>
      <c r="D429" s="1"/>
      <c r="E429" s="3">
        <v>18</v>
      </c>
      <c r="F429" s="11">
        <f>20-E429</f>
        <v>2</v>
      </c>
      <c r="G429" s="2"/>
      <c r="H429" s="5">
        <f>B429/SUM(B429:C429)</f>
        <v>0</v>
      </c>
      <c r="I429" s="41">
        <f>((B429+1.3613)-(1.65*SQRT(B429-(B429^2/SUM(B429:C429))+0.6806)))/(SUM(B429:C429)+2.7225)</f>
        <v>3.3007032488877747E-6</v>
      </c>
      <c r="J429" s="4">
        <f>((B429+1.3613)+(1.65*SQRT(B429-(B429^2/SUM(B429:C429))+0.6806)))/(SUM(B429:C429)+2.7225)</f>
        <v>0.1198162614047938</v>
      </c>
      <c r="K429" s="5">
        <f>E429/SUM(E429:F429)</f>
        <v>0.9</v>
      </c>
      <c r="L429" s="41">
        <f>((E429+1.3613)-(1.65*SQRT(E429-(E429^2/SUM(E429:F429))+0.6806)))/(SUM(E429:F429)+2.7225)</f>
        <v>0.7377076948078376</v>
      </c>
      <c r="M429" s="4">
        <f>((E429+1.3613)+(1.65*SQRT(E429-(E429^2/SUM(E429:F429))+0.6806)))/(SUM(E429:F429)+2.7225)</f>
        <v>0.96644457716927756</v>
      </c>
      <c r="N429" s="5">
        <f>H429-K429</f>
        <v>-0.9</v>
      </c>
      <c r="O429" s="41">
        <f>N429-SQRT((H429-I429)^2+(K429-M429)^2)</f>
        <v>-0.96644457725126054</v>
      </c>
      <c r="P429" s="4">
        <f>N429+SQRT((H429-J429)^2+(K429-L429)^2)</f>
        <v>-0.69827065453532089</v>
      </c>
      <c r="Q429" s="4" t="str">
        <f>IF(O429*P429&lt;0,"PASS","FAIL")</f>
        <v>FAIL</v>
      </c>
    </row>
    <row r="430" spans="2:17">
      <c r="B430" s="12">
        <v>1</v>
      </c>
      <c r="C430" s="13">
        <f t="shared" ref="C430:C449" si="228">20-B430</f>
        <v>19</v>
      </c>
      <c r="D430" s="1"/>
      <c r="E430" s="12">
        <v>18</v>
      </c>
      <c r="F430" s="13">
        <f t="shared" ref="F430:F449" si="229">20-E430</f>
        <v>2</v>
      </c>
      <c r="G430" s="2"/>
      <c r="H430" s="6">
        <f t="shared" ref="H430:H449" si="230">B430/SUM(B430:C430)</f>
        <v>0.05</v>
      </c>
      <c r="I430" s="32">
        <f t="shared" ref="I430:I449" si="231">((B430+1.3613)-(1.65*SQRT(B430-(B430^2/SUM(B430:C430))+0.6806)))/(SUM(B430:C430)+2.7225)</f>
        <v>1.1193017560007713E-2</v>
      </c>
      <c r="J430" s="7">
        <f t="shared" ref="J430:J449" si="232">((B430+1.3613)+(1.65*SQRT(B430-(B430^2/SUM(B430:C430))+0.6806)))/(SUM(B430:C430)+2.7225)</f>
        <v>0.19664502842965012</v>
      </c>
      <c r="K430" s="6">
        <f t="shared" ref="K430:K449" si="233">E430/SUM(E430:F430)</f>
        <v>0.9</v>
      </c>
      <c r="L430" s="32">
        <f t="shared" ref="L430:L449" si="234">((E430+1.3613)-(1.65*SQRT(E430-(E430^2/SUM(E430:F430))+0.6806)))/(SUM(E430:F430)+2.7225)</f>
        <v>0.7377076948078376</v>
      </c>
      <c r="M430" s="7">
        <f t="shared" ref="M430:M449" si="235">((E430+1.3613)+(1.65*SQRT(E430-(E430^2/SUM(E430:F430))+0.6806)))/(SUM(E430:F430)+2.7225)</f>
        <v>0.96644457716927756</v>
      </c>
      <c r="N430" s="6">
        <f t="shared" ref="N430:N449" si="236">H430-K430</f>
        <v>-0.85</v>
      </c>
      <c r="O430" s="32">
        <f t="shared" ref="O430:O449" si="237">N430-SQRT((H430-I430)^2+(K430-M430)^2)</f>
        <v>-0.92694714888351581</v>
      </c>
      <c r="P430" s="7">
        <f t="shared" ref="P430:P449" si="238">N430+SQRT((H430-J430)^2+(K430-L430)^2)</f>
        <v>-0.63126829976494292</v>
      </c>
      <c r="Q430" s="7" t="str">
        <f t="shared" ref="Q430:Q449" si="239">IF(O430*P430&lt;0,"PASS","FAIL")</f>
        <v>FAIL</v>
      </c>
    </row>
    <row r="431" spans="2:17">
      <c r="B431" s="12">
        <v>2</v>
      </c>
      <c r="C431" s="13">
        <f t="shared" si="228"/>
        <v>18</v>
      </c>
      <c r="D431" s="1"/>
      <c r="E431" s="12">
        <v>18</v>
      </c>
      <c r="F431" s="13">
        <f t="shared" si="229"/>
        <v>2</v>
      </c>
      <c r="G431" s="2"/>
      <c r="H431" s="6">
        <f t="shared" si="230"/>
        <v>0.1</v>
      </c>
      <c r="I431" s="32">
        <f t="shared" si="231"/>
        <v>3.3559823754916465E-2</v>
      </c>
      <c r="J431" s="7">
        <f t="shared" si="232"/>
        <v>0.26229670611635653</v>
      </c>
      <c r="K431" s="6">
        <f t="shared" si="233"/>
        <v>0.9</v>
      </c>
      <c r="L431" s="32">
        <f t="shared" si="234"/>
        <v>0.7377076948078376</v>
      </c>
      <c r="M431" s="7">
        <f t="shared" si="235"/>
        <v>0.96644457716927756</v>
      </c>
      <c r="N431" s="6">
        <f t="shared" si="236"/>
        <v>-0.8</v>
      </c>
      <c r="O431" s="32">
        <f t="shared" si="237"/>
        <v>-0.89396371030712785</v>
      </c>
      <c r="P431" s="7">
        <f t="shared" si="238"/>
        <v>-0.57048090898401294</v>
      </c>
      <c r="Q431" s="7" t="str">
        <f t="shared" si="239"/>
        <v>FAIL</v>
      </c>
    </row>
    <row r="432" spans="2:17">
      <c r="B432" s="12">
        <v>3</v>
      </c>
      <c r="C432" s="13">
        <f t="shared" si="228"/>
        <v>17</v>
      </c>
      <c r="D432" s="1"/>
      <c r="E432" s="12">
        <v>18</v>
      </c>
      <c r="F432" s="13">
        <f t="shared" si="229"/>
        <v>2</v>
      </c>
      <c r="G432" s="2"/>
      <c r="H432" s="6">
        <f t="shared" si="230"/>
        <v>0.15</v>
      </c>
      <c r="I432" s="32">
        <f t="shared" si="231"/>
        <v>6.1419802519351356E-2</v>
      </c>
      <c r="J432" s="7">
        <f t="shared" si="232"/>
        <v>0.32245521123353676</v>
      </c>
      <c r="K432" s="6">
        <f t="shared" si="233"/>
        <v>0.9</v>
      </c>
      <c r="L432" s="32">
        <f t="shared" si="234"/>
        <v>0.7377076948078376</v>
      </c>
      <c r="M432" s="7">
        <f t="shared" si="235"/>
        <v>0.96644457716927756</v>
      </c>
      <c r="N432" s="6">
        <f t="shared" si="236"/>
        <v>-0.75</v>
      </c>
      <c r="O432" s="32">
        <f t="shared" si="237"/>
        <v>-0.86073090454301715</v>
      </c>
      <c r="P432" s="7">
        <f t="shared" si="238"/>
        <v>-0.5131886991586132</v>
      </c>
      <c r="Q432" s="7" t="str">
        <f t="shared" si="239"/>
        <v>FAIL</v>
      </c>
    </row>
    <row r="433" spans="2:17">
      <c r="B433" s="12">
        <v>4</v>
      </c>
      <c r="C433" s="13">
        <f t="shared" si="228"/>
        <v>16</v>
      </c>
      <c r="D433" s="1"/>
      <c r="E433" s="12">
        <v>18</v>
      </c>
      <c r="F433" s="13">
        <f t="shared" si="229"/>
        <v>2</v>
      </c>
      <c r="G433" s="2"/>
      <c r="H433" s="6">
        <f t="shared" si="230"/>
        <v>0.2</v>
      </c>
      <c r="I433" s="32">
        <f t="shared" si="231"/>
        <v>9.2900237075401015E-2</v>
      </c>
      <c r="J433" s="7">
        <f t="shared" si="232"/>
        <v>0.37899326055910226</v>
      </c>
      <c r="K433" s="6">
        <f t="shared" si="233"/>
        <v>0.9</v>
      </c>
      <c r="L433" s="32">
        <f t="shared" si="234"/>
        <v>0.7377076948078376</v>
      </c>
      <c r="M433" s="7">
        <f t="shared" si="235"/>
        <v>0.96644457716927756</v>
      </c>
      <c r="N433" s="6">
        <f t="shared" si="236"/>
        <v>-0.7</v>
      </c>
      <c r="O433" s="32">
        <f t="shared" si="237"/>
        <v>-0.82603666551329169</v>
      </c>
      <c r="P433" s="7">
        <f t="shared" si="238"/>
        <v>-0.45838588689779591</v>
      </c>
      <c r="Q433" s="7" t="str">
        <f t="shared" si="239"/>
        <v>FAIL</v>
      </c>
    </row>
    <row r="434" spans="2:17">
      <c r="B434" s="12">
        <v>5</v>
      </c>
      <c r="C434" s="13">
        <f t="shared" si="228"/>
        <v>15</v>
      </c>
      <c r="D434" s="1"/>
      <c r="E434" s="12">
        <v>18</v>
      </c>
      <c r="F434" s="13">
        <f t="shared" si="229"/>
        <v>2</v>
      </c>
      <c r="G434" s="2"/>
      <c r="H434" s="6">
        <f t="shared" si="230"/>
        <v>0.25</v>
      </c>
      <c r="I434" s="32">
        <f t="shared" si="231"/>
        <v>0.12710822188096477</v>
      </c>
      <c r="J434" s="7">
        <f t="shared" si="232"/>
        <v>0.43280375963515361</v>
      </c>
      <c r="K434" s="6">
        <f t="shared" si="233"/>
        <v>0.9</v>
      </c>
      <c r="L434" s="32">
        <f t="shared" si="234"/>
        <v>0.7377076948078376</v>
      </c>
      <c r="M434" s="7">
        <f t="shared" si="235"/>
        <v>0.96644457716927756</v>
      </c>
      <c r="N434" s="6">
        <f t="shared" si="236"/>
        <v>-0.65</v>
      </c>
      <c r="O434" s="32">
        <f t="shared" si="237"/>
        <v>-0.78970422672368312</v>
      </c>
      <c r="P434" s="7">
        <f t="shared" si="238"/>
        <v>-0.40554958199803992</v>
      </c>
      <c r="Q434" s="7" t="str">
        <f t="shared" si="239"/>
        <v>FAIL</v>
      </c>
    </row>
    <row r="435" spans="2:17">
      <c r="B435" s="12">
        <v>6</v>
      </c>
      <c r="C435" s="13">
        <f t="shared" si="228"/>
        <v>14</v>
      </c>
      <c r="D435" s="1"/>
      <c r="E435" s="12">
        <v>18</v>
      </c>
      <c r="F435" s="13">
        <f t="shared" si="229"/>
        <v>2</v>
      </c>
      <c r="G435" s="2"/>
      <c r="H435" s="6">
        <f t="shared" si="230"/>
        <v>0.3</v>
      </c>
      <c r="I435" s="32">
        <f t="shared" si="231"/>
        <v>0.16354304302976813</v>
      </c>
      <c r="J435" s="7">
        <f t="shared" si="232"/>
        <v>0.48438742236796539</v>
      </c>
      <c r="K435" s="6">
        <f t="shared" si="233"/>
        <v>0.9</v>
      </c>
      <c r="L435" s="32">
        <f t="shared" si="234"/>
        <v>0.7377076948078376</v>
      </c>
      <c r="M435" s="7">
        <f t="shared" si="235"/>
        <v>0.96644457716927756</v>
      </c>
      <c r="N435" s="6">
        <f t="shared" si="236"/>
        <v>-0.60000000000000009</v>
      </c>
      <c r="O435" s="32">
        <f t="shared" si="237"/>
        <v>-0.75177411815187667</v>
      </c>
      <c r="P435" s="7">
        <f t="shared" si="238"/>
        <v>-0.35436304461240281</v>
      </c>
      <c r="Q435" s="7" t="str">
        <f t="shared" si="239"/>
        <v>FAIL</v>
      </c>
    </row>
    <row r="436" spans="2:17">
      <c r="B436" s="12">
        <v>7</v>
      </c>
      <c r="C436" s="13">
        <f t="shared" si="228"/>
        <v>13</v>
      </c>
      <c r="D436" s="1"/>
      <c r="E436" s="12">
        <v>18</v>
      </c>
      <c r="F436" s="13">
        <f t="shared" si="229"/>
        <v>2</v>
      </c>
      <c r="G436" s="2"/>
      <c r="H436" s="6">
        <f t="shared" si="230"/>
        <v>0.35</v>
      </c>
      <c r="I436" s="32">
        <f t="shared" si="231"/>
        <v>0.20189973247796225</v>
      </c>
      <c r="J436" s="7">
        <f t="shared" si="232"/>
        <v>0.53404921680138639</v>
      </c>
      <c r="K436" s="6">
        <f t="shared" si="233"/>
        <v>0.9</v>
      </c>
      <c r="L436" s="32">
        <f t="shared" si="234"/>
        <v>0.7377076948078376</v>
      </c>
      <c r="M436" s="7">
        <f t="shared" si="235"/>
        <v>0.96644457716927756</v>
      </c>
      <c r="N436" s="6">
        <f t="shared" si="236"/>
        <v>-0.55000000000000004</v>
      </c>
      <c r="O436" s="32">
        <f t="shared" si="237"/>
        <v>-0.71232242936607137</v>
      </c>
      <c r="P436" s="7">
        <f t="shared" si="238"/>
        <v>-0.30461681693769294</v>
      </c>
      <c r="Q436" s="7" t="str">
        <f t="shared" si="239"/>
        <v>FAIL</v>
      </c>
    </row>
    <row r="437" spans="2:17">
      <c r="B437" s="12">
        <v>8</v>
      </c>
      <c r="C437" s="13">
        <f t="shared" si="228"/>
        <v>12</v>
      </c>
      <c r="D437" s="1"/>
      <c r="E437" s="12">
        <v>18</v>
      </c>
      <c r="F437" s="13">
        <f t="shared" si="229"/>
        <v>2</v>
      </c>
      <c r="G437" s="2"/>
      <c r="H437" s="6">
        <f t="shared" si="230"/>
        <v>0.4</v>
      </c>
      <c r="I437" s="32">
        <f t="shared" si="231"/>
        <v>0.24198647075497337</v>
      </c>
      <c r="J437" s="7">
        <f t="shared" si="232"/>
        <v>0.5819809624059904</v>
      </c>
      <c r="K437" s="6">
        <f t="shared" si="233"/>
        <v>0.9</v>
      </c>
      <c r="L437" s="32">
        <f t="shared" si="234"/>
        <v>0.7377076948078376</v>
      </c>
      <c r="M437" s="7">
        <f t="shared" si="235"/>
        <v>0.96644457716927756</v>
      </c>
      <c r="N437" s="6">
        <f t="shared" si="236"/>
        <v>-0.5</v>
      </c>
      <c r="O437" s="32">
        <f t="shared" si="237"/>
        <v>-0.67141516053042971</v>
      </c>
      <c r="P437" s="7">
        <f t="shared" si="238"/>
        <v>-0.2561642704548891</v>
      </c>
      <c r="Q437" s="7" t="str">
        <f t="shared" si="239"/>
        <v>FAIL</v>
      </c>
    </row>
    <row r="438" spans="2:17">
      <c r="B438" s="12">
        <v>9</v>
      </c>
      <c r="C438" s="13">
        <f t="shared" si="228"/>
        <v>11</v>
      </c>
      <c r="D438" s="1"/>
      <c r="E438" s="12">
        <v>18</v>
      </c>
      <c r="F438" s="13">
        <f t="shared" si="229"/>
        <v>2</v>
      </c>
      <c r="G438" s="2"/>
      <c r="H438" s="6">
        <f t="shared" si="230"/>
        <v>0.45</v>
      </c>
      <c r="I438" s="32">
        <f t="shared" si="231"/>
        <v>0.28368506621578338</v>
      </c>
      <c r="J438" s="7">
        <f t="shared" si="232"/>
        <v>0.62830085082679554</v>
      </c>
      <c r="K438" s="6">
        <f t="shared" si="233"/>
        <v>0.9</v>
      </c>
      <c r="L438" s="32">
        <f t="shared" si="234"/>
        <v>0.7377076948078376</v>
      </c>
      <c r="M438" s="7">
        <f t="shared" si="235"/>
        <v>0.96644457716927756</v>
      </c>
      <c r="N438" s="6">
        <f t="shared" si="236"/>
        <v>-0.45</v>
      </c>
      <c r="O438" s="32">
        <f t="shared" si="237"/>
        <v>-0.6290964517651102</v>
      </c>
      <c r="P438" s="7">
        <f t="shared" si="238"/>
        <v>-0.20889839127424889</v>
      </c>
      <c r="Q438" s="7" t="str">
        <f t="shared" si="239"/>
        <v>FAIL</v>
      </c>
    </row>
    <row r="439" spans="2:17">
      <c r="B439" s="12">
        <v>10</v>
      </c>
      <c r="C439" s="13">
        <f t="shared" si="228"/>
        <v>10</v>
      </c>
      <c r="D439" s="1"/>
      <c r="E439" s="12">
        <v>18</v>
      </c>
      <c r="F439" s="13">
        <f t="shared" si="229"/>
        <v>2</v>
      </c>
      <c r="G439" s="2"/>
      <c r="H439" s="6">
        <f t="shared" si="230"/>
        <v>0.5</v>
      </c>
      <c r="I439" s="32">
        <f t="shared" si="231"/>
        <v>0.32693094787634341</v>
      </c>
      <c r="J439" s="7">
        <f t="shared" si="232"/>
        <v>0.6730734530478506</v>
      </c>
      <c r="K439" s="6">
        <f t="shared" si="233"/>
        <v>0.9</v>
      </c>
      <c r="L439" s="32">
        <f t="shared" si="234"/>
        <v>0.7377076948078376</v>
      </c>
      <c r="M439" s="7">
        <f t="shared" si="235"/>
        <v>0.96644457716927756</v>
      </c>
      <c r="N439" s="6">
        <f t="shared" si="236"/>
        <v>-0.4</v>
      </c>
      <c r="O439" s="32">
        <f t="shared" si="237"/>
        <v>-0.58538548658992984</v>
      </c>
      <c r="P439" s="7">
        <f t="shared" si="238"/>
        <v>-0.16273809308173273</v>
      </c>
      <c r="Q439" s="7" t="str">
        <f t="shared" si="239"/>
        <v>FAIL</v>
      </c>
    </row>
    <row r="440" spans="2:17">
      <c r="B440" s="12">
        <v>11</v>
      </c>
      <c r="C440" s="13">
        <f t="shared" si="228"/>
        <v>9</v>
      </c>
      <c r="D440" s="1"/>
      <c r="E440" s="12">
        <v>18</v>
      </c>
      <c r="F440" s="13">
        <f t="shared" si="229"/>
        <v>2</v>
      </c>
      <c r="G440" s="2"/>
      <c r="H440" s="6">
        <f t="shared" si="230"/>
        <v>0.55000000000000004</v>
      </c>
      <c r="I440" s="32">
        <f t="shared" si="231"/>
        <v>0.37170355009739847</v>
      </c>
      <c r="J440" s="7">
        <f t="shared" si="232"/>
        <v>0.71631933470841069</v>
      </c>
      <c r="K440" s="6">
        <f t="shared" si="233"/>
        <v>0.9</v>
      </c>
      <c r="L440" s="32">
        <f t="shared" si="234"/>
        <v>0.7377076948078376</v>
      </c>
      <c r="M440" s="7">
        <f t="shared" si="235"/>
        <v>0.96644457716927756</v>
      </c>
      <c r="N440" s="6">
        <f t="shared" si="236"/>
        <v>-0.35</v>
      </c>
      <c r="O440" s="32">
        <f t="shared" si="237"/>
        <v>-0.54027481673378375</v>
      </c>
      <c r="P440" s="7">
        <f t="shared" si="238"/>
        <v>-0.11761903386371264</v>
      </c>
      <c r="Q440" s="7" t="str">
        <f t="shared" si="239"/>
        <v>FAIL</v>
      </c>
    </row>
    <row r="441" spans="2:17">
      <c r="B441" s="12">
        <v>12</v>
      </c>
      <c r="C441" s="13">
        <f t="shared" si="228"/>
        <v>8</v>
      </c>
      <c r="D441" s="1"/>
      <c r="E441" s="12">
        <v>18</v>
      </c>
      <c r="F441" s="13">
        <f t="shared" si="229"/>
        <v>2</v>
      </c>
      <c r="G441" s="2"/>
      <c r="H441" s="6">
        <f t="shared" si="230"/>
        <v>0.6</v>
      </c>
      <c r="I441" s="32">
        <f t="shared" si="231"/>
        <v>0.41802343851820367</v>
      </c>
      <c r="J441" s="7">
        <f t="shared" si="232"/>
        <v>0.75801793016922059</v>
      </c>
      <c r="K441" s="6">
        <f t="shared" si="233"/>
        <v>0.9</v>
      </c>
      <c r="L441" s="32">
        <f t="shared" si="234"/>
        <v>0.7377076948078376</v>
      </c>
      <c r="M441" s="7">
        <f t="shared" si="235"/>
        <v>0.96644457716927756</v>
      </c>
      <c r="N441" s="6">
        <f t="shared" si="236"/>
        <v>-0.30000000000000004</v>
      </c>
      <c r="O441" s="32">
        <f t="shared" si="237"/>
        <v>-0.49372751679599386</v>
      </c>
      <c r="P441" s="7">
        <f t="shared" si="238"/>
        <v>-7.3486294941011027E-2</v>
      </c>
      <c r="Q441" s="7" t="str">
        <f t="shared" si="239"/>
        <v>FAIL</v>
      </c>
    </row>
    <row r="442" spans="2:17">
      <c r="B442" s="12">
        <v>13</v>
      </c>
      <c r="C442" s="13">
        <f t="shared" si="228"/>
        <v>7</v>
      </c>
      <c r="D442" s="1"/>
      <c r="E442" s="12">
        <v>18</v>
      </c>
      <c r="F442" s="13">
        <f t="shared" si="229"/>
        <v>2</v>
      </c>
      <c r="G442" s="2"/>
      <c r="H442" s="6">
        <f t="shared" si="230"/>
        <v>0.65</v>
      </c>
      <c r="I442" s="32">
        <f t="shared" si="231"/>
        <v>0.46595518412280768</v>
      </c>
      <c r="J442" s="7">
        <f t="shared" si="232"/>
        <v>0.79810466844623185</v>
      </c>
      <c r="K442" s="6">
        <f t="shared" si="233"/>
        <v>0.9</v>
      </c>
      <c r="L442" s="32">
        <f t="shared" si="234"/>
        <v>0.7377076948078376</v>
      </c>
      <c r="M442" s="7">
        <f t="shared" si="235"/>
        <v>0.96644457716927756</v>
      </c>
      <c r="N442" s="6">
        <f t="shared" si="236"/>
        <v>-0.25</v>
      </c>
      <c r="O442" s="32">
        <f t="shared" si="237"/>
        <v>-0.44567160265729344</v>
      </c>
      <c r="P442" s="7">
        <f t="shared" si="238"/>
        <v>-3.0287039207619243E-2</v>
      </c>
      <c r="Q442" s="7" t="str">
        <f t="shared" si="239"/>
        <v>FAIL</v>
      </c>
    </row>
    <row r="443" spans="2:17">
      <c r="B443" s="12">
        <v>14</v>
      </c>
      <c r="C443" s="13">
        <f t="shared" si="228"/>
        <v>6</v>
      </c>
      <c r="D443" s="1"/>
      <c r="E443" s="12">
        <v>18</v>
      </c>
      <c r="F443" s="13">
        <f t="shared" si="229"/>
        <v>2</v>
      </c>
      <c r="G443" s="2"/>
      <c r="H443" s="6">
        <f t="shared" si="230"/>
        <v>0.7</v>
      </c>
      <c r="I443" s="32">
        <f t="shared" si="231"/>
        <v>0.51561697855622868</v>
      </c>
      <c r="J443" s="7">
        <f t="shared" si="232"/>
        <v>0.83646135789442599</v>
      </c>
      <c r="K443" s="6">
        <f t="shared" si="233"/>
        <v>0.9</v>
      </c>
      <c r="L443" s="32">
        <f t="shared" si="234"/>
        <v>0.7377076948078376</v>
      </c>
      <c r="M443" s="7">
        <f t="shared" si="235"/>
        <v>0.96644457716927756</v>
      </c>
      <c r="N443" s="6">
        <f t="shared" si="236"/>
        <v>-0.20000000000000007</v>
      </c>
      <c r="O443" s="32">
        <f t="shared" si="237"/>
        <v>-0.39598974573160284</v>
      </c>
      <c r="P443" s="7">
        <f t="shared" si="238"/>
        <v>1.2038898608195459E-2</v>
      </c>
      <c r="Q443" s="7" t="str">
        <f t="shared" si="239"/>
        <v>PASS</v>
      </c>
    </row>
    <row r="444" spans="2:17">
      <c r="B444" s="12">
        <v>15</v>
      </c>
      <c r="C444" s="13">
        <f t="shared" si="228"/>
        <v>5</v>
      </c>
      <c r="D444" s="1"/>
      <c r="E444" s="12">
        <v>18</v>
      </c>
      <c r="F444" s="13">
        <f t="shared" si="229"/>
        <v>2</v>
      </c>
      <c r="G444" s="2"/>
      <c r="H444" s="6">
        <f t="shared" si="230"/>
        <v>0.75</v>
      </c>
      <c r="I444" s="32">
        <f t="shared" si="231"/>
        <v>0.56720064128904046</v>
      </c>
      <c r="J444" s="7">
        <f t="shared" si="232"/>
        <v>0.87289617904322925</v>
      </c>
      <c r="K444" s="6">
        <f t="shared" si="233"/>
        <v>0.9</v>
      </c>
      <c r="L444" s="32">
        <f t="shared" si="234"/>
        <v>0.7377076948078376</v>
      </c>
      <c r="M444" s="7">
        <f t="shared" si="235"/>
        <v>0.96644457716927756</v>
      </c>
      <c r="N444" s="6">
        <f t="shared" si="236"/>
        <v>-0.15000000000000002</v>
      </c>
      <c r="O444" s="32">
        <f t="shared" si="237"/>
        <v>-0.34450061023128475</v>
      </c>
      <c r="P444" s="7">
        <f t="shared" si="238"/>
        <v>5.3573729022217992E-2</v>
      </c>
      <c r="Q444" s="7" t="str">
        <f t="shared" si="239"/>
        <v>PASS</v>
      </c>
    </row>
    <row r="445" spans="2:17">
      <c r="B445" s="12">
        <v>16</v>
      </c>
      <c r="C445" s="13">
        <f t="shared" si="228"/>
        <v>4</v>
      </c>
      <c r="D445" s="1"/>
      <c r="E445" s="12">
        <v>18</v>
      </c>
      <c r="F445" s="13">
        <f t="shared" si="229"/>
        <v>2</v>
      </c>
      <c r="G445" s="2"/>
      <c r="H445" s="6">
        <f t="shared" si="230"/>
        <v>0.8</v>
      </c>
      <c r="I445" s="32">
        <f t="shared" si="231"/>
        <v>0.62101114036509186</v>
      </c>
      <c r="J445" s="7">
        <f t="shared" si="232"/>
        <v>0.907104163848793</v>
      </c>
      <c r="K445" s="6">
        <f t="shared" si="233"/>
        <v>0.9</v>
      </c>
      <c r="L445" s="32">
        <f t="shared" si="234"/>
        <v>0.7377076948078376</v>
      </c>
      <c r="M445" s="7">
        <f t="shared" si="235"/>
        <v>0.96644457716927756</v>
      </c>
      <c r="N445" s="6">
        <f t="shared" si="236"/>
        <v>-9.9999999999999978E-2</v>
      </c>
      <c r="O445" s="32">
        <f t="shared" si="237"/>
        <v>-0.29092379031595028</v>
      </c>
      <c r="P445" s="7">
        <f t="shared" si="238"/>
        <v>9.4448178799224264E-2</v>
      </c>
      <c r="Q445" s="7" t="str">
        <f t="shared" si="239"/>
        <v>PASS</v>
      </c>
    </row>
    <row r="446" spans="2:17">
      <c r="B446" s="12">
        <v>17</v>
      </c>
      <c r="C446" s="13">
        <f t="shared" si="228"/>
        <v>3</v>
      </c>
      <c r="D446" s="1"/>
      <c r="E446" s="12">
        <v>18</v>
      </c>
      <c r="F446" s="13">
        <f t="shared" si="229"/>
        <v>2</v>
      </c>
      <c r="G446" s="2"/>
      <c r="H446" s="6">
        <f t="shared" si="230"/>
        <v>0.85</v>
      </c>
      <c r="I446" s="32">
        <f t="shared" si="231"/>
        <v>0.67754918969065736</v>
      </c>
      <c r="J446" s="7">
        <f t="shared" si="232"/>
        <v>0.93858459840484276</v>
      </c>
      <c r="K446" s="6">
        <f t="shared" si="233"/>
        <v>0.9</v>
      </c>
      <c r="L446" s="32">
        <f t="shared" si="234"/>
        <v>0.7377076948078376</v>
      </c>
      <c r="M446" s="7">
        <f t="shared" si="235"/>
        <v>0.96644457716927756</v>
      </c>
      <c r="N446" s="6">
        <f t="shared" si="236"/>
        <v>-5.0000000000000044E-2</v>
      </c>
      <c r="O446" s="32">
        <f t="shared" si="237"/>
        <v>-0.23480845167781955</v>
      </c>
      <c r="P446" s="7">
        <f t="shared" si="238"/>
        <v>0.13489462782659006</v>
      </c>
      <c r="Q446" s="7" t="str">
        <f t="shared" si="239"/>
        <v>PASS</v>
      </c>
    </row>
    <row r="447" spans="2:17">
      <c r="B447" s="12">
        <v>18</v>
      </c>
      <c r="C447" s="13">
        <f t="shared" si="228"/>
        <v>2</v>
      </c>
      <c r="D447" s="1"/>
      <c r="E447" s="12">
        <v>18</v>
      </c>
      <c r="F447" s="13">
        <f t="shared" si="229"/>
        <v>2</v>
      </c>
      <c r="G447" s="2"/>
      <c r="H447" s="6">
        <f t="shared" si="230"/>
        <v>0.9</v>
      </c>
      <c r="I447" s="32">
        <f t="shared" si="231"/>
        <v>0.7377076948078376</v>
      </c>
      <c r="J447" s="7">
        <f t="shared" si="232"/>
        <v>0.96644457716927756</v>
      </c>
      <c r="K447" s="6">
        <f t="shared" si="233"/>
        <v>0.9</v>
      </c>
      <c r="L447" s="32">
        <f t="shared" si="234"/>
        <v>0.7377076948078376</v>
      </c>
      <c r="M447" s="7">
        <f t="shared" si="235"/>
        <v>0.96644457716927756</v>
      </c>
      <c r="N447" s="6">
        <f t="shared" si="236"/>
        <v>0</v>
      </c>
      <c r="O447" s="32">
        <f t="shared" si="237"/>
        <v>-0.17536725509567078</v>
      </c>
      <c r="P447" s="7">
        <f t="shared" si="238"/>
        <v>0.17536725509567078</v>
      </c>
      <c r="Q447" s="7" t="str">
        <f t="shared" si="239"/>
        <v>PASS</v>
      </c>
    </row>
    <row r="448" spans="2:17">
      <c r="B448" s="12">
        <v>19</v>
      </c>
      <c r="C448" s="13">
        <f t="shared" si="228"/>
        <v>1</v>
      </c>
      <c r="D448" s="1"/>
      <c r="E448" s="12">
        <v>18</v>
      </c>
      <c r="F448" s="13">
        <f t="shared" si="229"/>
        <v>2</v>
      </c>
      <c r="G448" s="2"/>
      <c r="H448" s="6">
        <f t="shared" si="230"/>
        <v>0.95</v>
      </c>
      <c r="I448" s="32">
        <f t="shared" si="231"/>
        <v>0.80335937249454403</v>
      </c>
      <c r="J448" s="7">
        <f t="shared" si="232"/>
        <v>0.98881138336418628</v>
      </c>
      <c r="K448" s="6">
        <f t="shared" si="233"/>
        <v>0.9</v>
      </c>
      <c r="L448" s="32">
        <f t="shared" si="234"/>
        <v>0.7377076948078376</v>
      </c>
      <c r="M448" s="7">
        <f t="shared" si="235"/>
        <v>0.96644457716927756</v>
      </c>
      <c r="N448" s="6">
        <f t="shared" si="236"/>
        <v>4.9999999999999933E-2</v>
      </c>
      <c r="O448" s="32">
        <f t="shared" si="237"/>
        <v>-0.11099178696566472</v>
      </c>
      <c r="P448" s="7">
        <f t="shared" si="238"/>
        <v>0.21686855846212552</v>
      </c>
      <c r="Q448" s="7" t="str">
        <f t="shared" si="239"/>
        <v>PASS</v>
      </c>
    </row>
    <row r="449" spans="2:17" ht="15" thickBot="1">
      <c r="B449" s="15">
        <v>20</v>
      </c>
      <c r="C449" s="14">
        <f t="shared" si="228"/>
        <v>0</v>
      </c>
      <c r="D449" s="1"/>
      <c r="E449" s="15">
        <v>18</v>
      </c>
      <c r="F449" s="14">
        <f t="shared" si="229"/>
        <v>2</v>
      </c>
      <c r="G449" s="2"/>
      <c r="H449" s="8">
        <f t="shared" si="230"/>
        <v>1</v>
      </c>
      <c r="I449" s="16">
        <f t="shared" si="231"/>
        <v>0.88018813951940023</v>
      </c>
      <c r="J449" s="9">
        <f t="shared" si="232"/>
        <v>1.0000011002209452</v>
      </c>
      <c r="K449" s="8">
        <f t="shared" si="233"/>
        <v>0.9</v>
      </c>
      <c r="L449" s="16">
        <f t="shared" si="234"/>
        <v>0.7377076948078376</v>
      </c>
      <c r="M449" s="9">
        <f t="shared" si="235"/>
        <v>0.96644457716927756</v>
      </c>
      <c r="N449" s="8">
        <f t="shared" si="236"/>
        <v>9.9999999999999978E-2</v>
      </c>
      <c r="O449" s="16">
        <f t="shared" si="237"/>
        <v>-3.7002787369552398E-2</v>
      </c>
      <c r="P449" s="9">
        <f t="shared" si="238"/>
        <v>0.26229230519589175</v>
      </c>
      <c r="Q449" s="9" t="str">
        <f t="shared" si="239"/>
        <v>PASS</v>
      </c>
    </row>
    <row r="450" spans="2:17" ht="15" thickBot="1"/>
    <row r="451" spans="2:17">
      <c r="B451" s="3">
        <v>0</v>
      </c>
      <c r="C451" s="11">
        <f>20-B451</f>
        <v>20</v>
      </c>
      <c r="D451" s="1"/>
      <c r="E451" s="3">
        <v>19</v>
      </c>
      <c r="F451" s="11">
        <f>20-E451</f>
        <v>1</v>
      </c>
      <c r="G451" s="2"/>
      <c r="H451" s="5">
        <f>B451/SUM(B451:C451)</f>
        <v>0</v>
      </c>
      <c r="I451" s="41">
        <f>((B451+1.3613)-(1.65*SQRT(B451-(B451^2/SUM(B451:C451))+0.6806)))/(SUM(B451:C451)+2.7225)</f>
        <v>3.3007032488877747E-6</v>
      </c>
      <c r="J451" s="4">
        <f>((B451+1.3613)+(1.65*SQRT(B451-(B451^2/SUM(B451:C451))+0.6806)))/(SUM(B451:C451)+2.7225)</f>
        <v>0.1198162614047938</v>
      </c>
      <c r="K451" s="5">
        <f>E451/SUM(E451:F451)</f>
        <v>0.95</v>
      </c>
      <c r="L451" s="41">
        <f>((E451+1.3613)-(1.65*SQRT(E451-(E451^2/SUM(E451:F451))+0.6806)))/(SUM(E451:F451)+2.7225)</f>
        <v>0.80335937249454403</v>
      </c>
      <c r="M451" s="4">
        <f>((E451+1.3613)+(1.65*SQRT(E451-(E451^2/SUM(E451:F451))+0.6806)))/(SUM(E451:F451)+2.7225)</f>
        <v>0.98881138336418628</v>
      </c>
      <c r="N451" s="5">
        <f>H451-K451</f>
        <v>-0.95</v>
      </c>
      <c r="O451" s="41">
        <f>N451-SQRT((H451-I451)^2+(K451-M451)^2)</f>
        <v>-0.98881138350454001</v>
      </c>
      <c r="P451" s="4">
        <f>N451+SQRT((H451-J451)^2+(K451-L451)^2)</f>
        <v>-0.76063418964286145</v>
      </c>
      <c r="Q451" s="4" t="str">
        <f>IF(O451*P451&lt;0,"PASS","FAIL")</f>
        <v>FAIL</v>
      </c>
    </row>
    <row r="452" spans="2:17">
      <c r="B452" s="12">
        <v>1</v>
      </c>
      <c r="C452" s="13">
        <f t="shared" ref="C452:C471" si="240">20-B452</f>
        <v>19</v>
      </c>
      <c r="D452" s="1"/>
      <c r="E452" s="12">
        <v>19</v>
      </c>
      <c r="F452" s="13">
        <f t="shared" ref="F452:F471" si="241">20-E452</f>
        <v>1</v>
      </c>
      <c r="G452" s="2"/>
      <c r="H452" s="6">
        <f t="shared" ref="H452:H471" si="242">B452/SUM(B452:C452)</f>
        <v>0.05</v>
      </c>
      <c r="I452" s="32">
        <f t="shared" ref="I452:I471" si="243">((B452+1.3613)-(1.65*SQRT(B452-(B452^2/SUM(B452:C452))+0.6806)))/(SUM(B452:C452)+2.7225)</f>
        <v>1.1193017560007713E-2</v>
      </c>
      <c r="J452" s="7">
        <f t="shared" ref="J452:J471" si="244">((B452+1.3613)+(1.65*SQRT(B452-(B452^2/SUM(B452:C452))+0.6806)))/(SUM(B452:C452)+2.7225)</f>
        <v>0.19664502842965012</v>
      </c>
      <c r="K452" s="6">
        <f t="shared" ref="K452:K471" si="245">E452/SUM(E452:F452)</f>
        <v>0.95</v>
      </c>
      <c r="L452" s="32">
        <f t="shared" ref="L452:L471" si="246">((E452+1.3613)-(1.65*SQRT(E452-(E452^2/SUM(E452:F452))+0.6806)))/(SUM(E452:F452)+2.7225)</f>
        <v>0.80335937249454403</v>
      </c>
      <c r="M452" s="7">
        <f t="shared" ref="M452:M471" si="247">((E452+1.3613)+(1.65*SQRT(E452-(E452^2/SUM(E452:F452))+0.6806)))/(SUM(E452:F452)+2.7225)</f>
        <v>0.98881138336418628</v>
      </c>
      <c r="N452" s="6">
        <f t="shared" ref="N452:N471" si="248">H452-K452</f>
        <v>-0.89999999999999991</v>
      </c>
      <c r="O452" s="32">
        <f t="shared" ref="O452:O471" si="249">N452-SQRT((H452-I452)^2+(K452-M452)^2)</f>
        <v>-0.95488447289297496</v>
      </c>
      <c r="P452" s="7">
        <f t="shared" ref="P452:P471" si="250">N452+SQRT((H452-J452)^2+(K452-L452)^2)</f>
        <v>-0.69261572384019376</v>
      </c>
      <c r="Q452" s="7" t="str">
        <f t="shared" ref="Q452:Q471" si="251">IF(O452*P452&lt;0,"PASS","FAIL")</f>
        <v>FAIL</v>
      </c>
    </row>
    <row r="453" spans="2:17">
      <c r="B453" s="12">
        <v>2</v>
      </c>
      <c r="C453" s="13">
        <f t="shared" si="240"/>
        <v>18</v>
      </c>
      <c r="D453" s="1"/>
      <c r="E453" s="12">
        <v>19</v>
      </c>
      <c r="F453" s="13">
        <f t="shared" si="241"/>
        <v>1</v>
      </c>
      <c r="G453" s="2"/>
      <c r="H453" s="6">
        <f t="shared" si="242"/>
        <v>0.1</v>
      </c>
      <c r="I453" s="32">
        <f t="shared" si="243"/>
        <v>3.3559823754916465E-2</v>
      </c>
      <c r="J453" s="7">
        <f t="shared" si="244"/>
        <v>0.26229670611635653</v>
      </c>
      <c r="K453" s="6">
        <f t="shared" si="245"/>
        <v>0.95</v>
      </c>
      <c r="L453" s="32">
        <f t="shared" si="246"/>
        <v>0.80335937249454403</v>
      </c>
      <c r="M453" s="7">
        <f t="shared" si="247"/>
        <v>0.98881138336418628</v>
      </c>
      <c r="N453" s="6">
        <f t="shared" si="248"/>
        <v>-0.85</v>
      </c>
      <c r="O453" s="32">
        <f t="shared" si="249"/>
        <v>-0.92694556841118014</v>
      </c>
      <c r="P453" s="7">
        <f t="shared" si="250"/>
        <v>-0.6312679848503816</v>
      </c>
      <c r="Q453" s="7" t="str">
        <f t="shared" si="251"/>
        <v>FAIL</v>
      </c>
    </row>
    <row r="454" spans="2:17">
      <c r="B454" s="12">
        <v>3</v>
      </c>
      <c r="C454" s="13">
        <f t="shared" si="240"/>
        <v>17</v>
      </c>
      <c r="D454" s="1"/>
      <c r="E454" s="12">
        <v>19</v>
      </c>
      <c r="F454" s="13">
        <f t="shared" si="241"/>
        <v>1</v>
      </c>
      <c r="G454" s="2"/>
      <c r="H454" s="6">
        <f t="shared" si="242"/>
        <v>0.15</v>
      </c>
      <c r="I454" s="32">
        <f t="shared" si="243"/>
        <v>6.1419802519351356E-2</v>
      </c>
      <c r="J454" s="7">
        <f t="shared" si="244"/>
        <v>0.32245521123353676</v>
      </c>
      <c r="K454" s="6">
        <f t="shared" si="245"/>
        <v>0.95</v>
      </c>
      <c r="L454" s="32">
        <f t="shared" si="246"/>
        <v>0.80335937249454403</v>
      </c>
      <c r="M454" s="7">
        <f t="shared" si="247"/>
        <v>0.98881138336418628</v>
      </c>
      <c r="N454" s="6">
        <f t="shared" si="248"/>
        <v>-0.79999999999999993</v>
      </c>
      <c r="O454" s="32">
        <f t="shared" si="249"/>
        <v>-0.89670974544663296</v>
      </c>
      <c r="P454" s="7">
        <f t="shared" si="250"/>
        <v>-0.57362801958546705</v>
      </c>
      <c r="Q454" s="7" t="str">
        <f t="shared" si="251"/>
        <v>FAIL</v>
      </c>
    </row>
    <row r="455" spans="2:17">
      <c r="B455" s="12">
        <v>4</v>
      </c>
      <c r="C455" s="13">
        <f t="shared" si="240"/>
        <v>16</v>
      </c>
      <c r="D455" s="1"/>
      <c r="E455" s="12">
        <v>19</v>
      </c>
      <c r="F455" s="13">
        <f t="shared" si="241"/>
        <v>1</v>
      </c>
      <c r="G455" s="2"/>
      <c r="H455" s="6">
        <f t="shared" si="242"/>
        <v>0.2</v>
      </c>
      <c r="I455" s="32">
        <f t="shared" si="243"/>
        <v>9.2900237075401015E-2</v>
      </c>
      <c r="J455" s="7">
        <f t="shared" si="244"/>
        <v>0.37899326055910226</v>
      </c>
      <c r="K455" s="6">
        <f t="shared" si="245"/>
        <v>0.95</v>
      </c>
      <c r="L455" s="32">
        <f t="shared" si="246"/>
        <v>0.80335937249454403</v>
      </c>
      <c r="M455" s="7">
        <f t="shared" si="247"/>
        <v>0.98881138336418628</v>
      </c>
      <c r="N455" s="6">
        <f t="shared" si="248"/>
        <v>-0.75</v>
      </c>
      <c r="O455" s="32">
        <f t="shared" si="249"/>
        <v>-0.86391524348017323</v>
      </c>
      <c r="P455" s="7">
        <f t="shared" si="250"/>
        <v>-0.51860842504366644</v>
      </c>
      <c r="Q455" s="7" t="str">
        <f t="shared" si="251"/>
        <v>FAIL</v>
      </c>
    </row>
    <row r="456" spans="2:17">
      <c r="B456" s="12">
        <v>5</v>
      </c>
      <c r="C456" s="13">
        <f t="shared" si="240"/>
        <v>15</v>
      </c>
      <c r="D456" s="1"/>
      <c r="E456" s="12">
        <v>19</v>
      </c>
      <c r="F456" s="13">
        <f t="shared" si="241"/>
        <v>1</v>
      </c>
      <c r="G456" s="2"/>
      <c r="H456" s="6">
        <f t="shared" si="242"/>
        <v>0.25</v>
      </c>
      <c r="I456" s="32">
        <f t="shared" si="243"/>
        <v>0.12710822188096477</v>
      </c>
      <c r="J456" s="7">
        <f t="shared" si="244"/>
        <v>0.43280375963515361</v>
      </c>
      <c r="K456" s="6">
        <f t="shared" si="245"/>
        <v>0.95</v>
      </c>
      <c r="L456" s="32">
        <f t="shared" si="246"/>
        <v>0.80335937249454403</v>
      </c>
      <c r="M456" s="7">
        <f t="shared" si="247"/>
        <v>0.98881138336418628</v>
      </c>
      <c r="N456" s="6">
        <f t="shared" si="248"/>
        <v>-0.7</v>
      </c>
      <c r="O456" s="32">
        <f t="shared" si="249"/>
        <v>-0.82887479430788635</v>
      </c>
      <c r="P456" s="7">
        <f t="shared" si="250"/>
        <v>-0.46564836639796831</v>
      </c>
      <c r="Q456" s="7" t="str">
        <f t="shared" si="251"/>
        <v>FAIL</v>
      </c>
    </row>
    <row r="457" spans="2:17">
      <c r="B457" s="12">
        <v>6</v>
      </c>
      <c r="C457" s="13">
        <f t="shared" si="240"/>
        <v>14</v>
      </c>
      <c r="D457" s="1"/>
      <c r="E457" s="12">
        <v>19</v>
      </c>
      <c r="F457" s="13">
        <f t="shared" si="241"/>
        <v>1</v>
      </c>
      <c r="G457" s="2"/>
      <c r="H457" s="6">
        <f t="shared" si="242"/>
        <v>0.3</v>
      </c>
      <c r="I457" s="32">
        <f t="shared" si="243"/>
        <v>0.16354304302976813</v>
      </c>
      <c r="J457" s="7">
        <f t="shared" si="244"/>
        <v>0.48438742236796539</v>
      </c>
      <c r="K457" s="6">
        <f t="shared" si="245"/>
        <v>0.95</v>
      </c>
      <c r="L457" s="32">
        <f t="shared" si="246"/>
        <v>0.80335937249454403</v>
      </c>
      <c r="M457" s="7">
        <f t="shared" si="247"/>
        <v>0.98881138336418628</v>
      </c>
      <c r="N457" s="6">
        <f t="shared" si="248"/>
        <v>-0.64999999999999991</v>
      </c>
      <c r="O457" s="32">
        <f t="shared" si="249"/>
        <v>-0.79186904025973226</v>
      </c>
      <c r="P457" s="7">
        <f t="shared" si="250"/>
        <v>-0.41441096128491806</v>
      </c>
      <c r="Q457" s="7" t="str">
        <f t="shared" si="251"/>
        <v>FAIL</v>
      </c>
    </row>
    <row r="458" spans="2:17">
      <c r="B458" s="12">
        <v>7</v>
      </c>
      <c r="C458" s="13">
        <f t="shared" si="240"/>
        <v>13</v>
      </c>
      <c r="D458" s="1"/>
      <c r="E458" s="12">
        <v>19</v>
      </c>
      <c r="F458" s="13">
        <f t="shared" si="241"/>
        <v>1</v>
      </c>
      <c r="G458" s="2"/>
      <c r="H458" s="6">
        <f t="shared" si="242"/>
        <v>0.35</v>
      </c>
      <c r="I458" s="32">
        <f t="shared" si="243"/>
        <v>0.20189973247796225</v>
      </c>
      <c r="J458" s="7">
        <f t="shared" si="244"/>
        <v>0.53404921680138639</v>
      </c>
      <c r="K458" s="6">
        <f t="shared" si="245"/>
        <v>0.95</v>
      </c>
      <c r="L458" s="32">
        <f t="shared" si="246"/>
        <v>0.80335937249454403</v>
      </c>
      <c r="M458" s="7">
        <f t="shared" si="247"/>
        <v>0.98881138336418628</v>
      </c>
      <c r="N458" s="6">
        <f t="shared" si="248"/>
        <v>-0.6</v>
      </c>
      <c r="O458" s="32">
        <f t="shared" si="249"/>
        <v>-0.75310131520905033</v>
      </c>
      <c r="P458" s="7">
        <f t="shared" si="250"/>
        <v>-0.3646755689682909</v>
      </c>
      <c r="Q458" s="7" t="str">
        <f t="shared" si="251"/>
        <v>FAIL</v>
      </c>
    </row>
    <row r="459" spans="2:17">
      <c r="B459" s="12">
        <v>8</v>
      </c>
      <c r="C459" s="13">
        <f t="shared" si="240"/>
        <v>12</v>
      </c>
      <c r="D459" s="1"/>
      <c r="E459" s="12">
        <v>19</v>
      </c>
      <c r="F459" s="13">
        <f t="shared" si="241"/>
        <v>1</v>
      </c>
      <c r="G459" s="2"/>
      <c r="H459" s="6">
        <f t="shared" si="242"/>
        <v>0.4</v>
      </c>
      <c r="I459" s="32">
        <f t="shared" si="243"/>
        <v>0.24198647075497337</v>
      </c>
      <c r="J459" s="7">
        <f t="shared" si="244"/>
        <v>0.5819809624059904</v>
      </c>
      <c r="K459" s="6">
        <f t="shared" si="245"/>
        <v>0.95</v>
      </c>
      <c r="L459" s="32">
        <f t="shared" si="246"/>
        <v>0.80335937249454403</v>
      </c>
      <c r="M459" s="7">
        <f t="shared" si="247"/>
        <v>0.98881138336418628</v>
      </c>
      <c r="N459" s="6">
        <f t="shared" si="248"/>
        <v>-0.54999999999999993</v>
      </c>
      <c r="O459" s="32">
        <f t="shared" si="249"/>
        <v>-0.71271016840723478</v>
      </c>
      <c r="P459" s="7">
        <f t="shared" si="250"/>
        <v>-0.31628961445112375</v>
      </c>
      <c r="Q459" s="7" t="str">
        <f t="shared" si="251"/>
        <v>FAIL</v>
      </c>
    </row>
    <row r="460" spans="2:17">
      <c r="B460" s="12">
        <v>9</v>
      </c>
      <c r="C460" s="13">
        <f t="shared" si="240"/>
        <v>11</v>
      </c>
      <c r="D460" s="1"/>
      <c r="E460" s="12">
        <v>19</v>
      </c>
      <c r="F460" s="13">
        <f t="shared" si="241"/>
        <v>1</v>
      </c>
      <c r="G460" s="2"/>
      <c r="H460" s="6">
        <f t="shared" si="242"/>
        <v>0.45</v>
      </c>
      <c r="I460" s="32">
        <f t="shared" si="243"/>
        <v>0.28368506621578338</v>
      </c>
      <c r="J460" s="7">
        <f t="shared" si="244"/>
        <v>0.62830085082679554</v>
      </c>
      <c r="K460" s="6">
        <f t="shared" si="245"/>
        <v>0.95</v>
      </c>
      <c r="L460" s="32">
        <f t="shared" si="246"/>
        <v>0.80335937249454403</v>
      </c>
      <c r="M460" s="7">
        <f t="shared" si="247"/>
        <v>0.98881138336418628</v>
      </c>
      <c r="N460" s="6">
        <f t="shared" si="248"/>
        <v>-0.49999999999999994</v>
      </c>
      <c r="O460" s="32">
        <f t="shared" si="249"/>
        <v>-0.6707834320954178</v>
      </c>
      <c r="P460" s="7">
        <f t="shared" si="250"/>
        <v>-0.26914362248195722</v>
      </c>
      <c r="Q460" s="7" t="str">
        <f t="shared" si="251"/>
        <v>FAIL</v>
      </c>
    </row>
    <row r="461" spans="2:17">
      <c r="B461" s="12">
        <v>10</v>
      </c>
      <c r="C461" s="13">
        <f t="shared" si="240"/>
        <v>10</v>
      </c>
      <c r="D461" s="1"/>
      <c r="E461" s="12">
        <v>19</v>
      </c>
      <c r="F461" s="13">
        <f t="shared" si="241"/>
        <v>1</v>
      </c>
      <c r="G461" s="2"/>
      <c r="H461" s="6">
        <f t="shared" si="242"/>
        <v>0.5</v>
      </c>
      <c r="I461" s="32">
        <f t="shared" si="243"/>
        <v>0.32693094787634341</v>
      </c>
      <c r="J461" s="7">
        <f t="shared" si="244"/>
        <v>0.6730734530478506</v>
      </c>
      <c r="K461" s="6">
        <f t="shared" si="245"/>
        <v>0.95</v>
      </c>
      <c r="L461" s="32">
        <f t="shared" si="246"/>
        <v>0.80335937249454403</v>
      </c>
      <c r="M461" s="7">
        <f t="shared" si="247"/>
        <v>0.98881138336418628</v>
      </c>
      <c r="N461" s="6">
        <f t="shared" si="248"/>
        <v>-0.44999999999999996</v>
      </c>
      <c r="O461" s="32">
        <f t="shared" si="249"/>
        <v>-0.62736747244526769</v>
      </c>
      <c r="P461" s="7">
        <f t="shared" si="250"/>
        <v>-0.22315667568760053</v>
      </c>
      <c r="Q461" s="7" t="str">
        <f t="shared" si="251"/>
        <v>FAIL</v>
      </c>
    </row>
    <row r="462" spans="2:17">
      <c r="B462" s="12">
        <v>11</v>
      </c>
      <c r="C462" s="13">
        <f t="shared" si="240"/>
        <v>9</v>
      </c>
      <c r="D462" s="1"/>
      <c r="E462" s="12">
        <v>19</v>
      </c>
      <c r="F462" s="13">
        <f t="shared" si="241"/>
        <v>1</v>
      </c>
      <c r="G462" s="2"/>
      <c r="H462" s="6">
        <f t="shared" si="242"/>
        <v>0.55000000000000004</v>
      </c>
      <c r="I462" s="32">
        <f t="shared" si="243"/>
        <v>0.37170355009739847</v>
      </c>
      <c r="J462" s="7">
        <f t="shared" si="244"/>
        <v>0.71631933470841069</v>
      </c>
      <c r="K462" s="6">
        <f t="shared" si="245"/>
        <v>0.95</v>
      </c>
      <c r="L462" s="32">
        <f t="shared" si="246"/>
        <v>0.80335937249454403</v>
      </c>
      <c r="M462" s="7">
        <f t="shared" si="247"/>
        <v>0.98881138336418628</v>
      </c>
      <c r="N462" s="6">
        <f t="shared" si="248"/>
        <v>-0.39999999999999991</v>
      </c>
      <c r="O462" s="32">
        <f t="shared" si="249"/>
        <v>-0.5824717718621506</v>
      </c>
      <c r="P462" s="7">
        <f t="shared" si="250"/>
        <v>-0.17826683889629355</v>
      </c>
      <c r="Q462" s="7" t="str">
        <f t="shared" si="251"/>
        <v>FAIL</v>
      </c>
    </row>
    <row r="463" spans="2:17">
      <c r="B463" s="12">
        <v>12</v>
      </c>
      <c r="C463" s="13">
        <f t="shared" si="240"/>
        <v>8</v>
      </c>
      <c r="D463" s="1"/>
      <c r="E463" s="12">
        <v>19</v>
      </c>
      <c r="F463" s="13">
        <f t="shared" si="241"/>
        <v>1</v>
      </c>
      <c r="G463" s="2"/>
      <c r="H463" s="6">
        <f t="shared" si="242"/>
        <v>0.6</v>
      </c>
      <c r="I463" s="32">
        <f t="shared" si="243"/>
        <v>0.41802343851820367</v>
      </c>
      <c r="J463" s="7">
        <f t="shared" si="244"/>
        <v>0.75801793016922059</v>
      </c>
      <c r="K463" s="6">
        <f t="shared" si="245"/>
        <v>0.95</v>
      </c>
      <c r="L463" s="32">
        <f t="shared" si="246"/>
        <v>0.80335937249454403</v>
      </c>
      <c r="M463" s="7">
        <f t="shared" si="247"/>
        <v>0.98881138336418628</v>
      </c>
      <c r="N463" s="6">
        <f t="shared" si="248"/>
        <v>-0.35</v>
      </c>
      <c r="O463" s="32">
        <f t="shared" si="249"/>
        <v>-0.53606932151050535</v>
      </c>
      <c r="P463" s="7">
        <f t="shared" si="250"/>
        <v>-0.1344237028563702</v>
      </c>
      <c r="Q463" s="7" t="str">
        <f t="shared" si="251"/>
        <v>FAIL</v>
      </c>
    </row>
    <row r="464" spans="2:17">
      <c r="B464" s="12">
        <v>13</v>
      </c>
      <c r="C464" s="13">
        <f t="shared" si="240"/>
        <v>7</v>
      </c>
      <c r="D464" s="1"/>
      <c r="E464" s="12">
        <v>19</v>
      </c>
      <c r="F464" s="13">
        <f t="shared" si="241"/>
        <v>1</v>
      </c>
      <c r="G464" s="2"/>
      <c r="H464" s="6">
        <f t="shared" si="242"/>
        <v>0.65</v>
      </c>
      <c r="I464" s="32">
        <f t="shared" si="243"/>
        <v>0.46595518412280768</v>
      </c>
      <c r="J464" s="7">
        <f t="shared" si="244"/>
        <v>0.79810466844623185</v>
      </c>
      <c r="K464" s="6">
        <f t="shared" si="245"/>
        <v>0.95</v>
      </c>
      <c r="L464" s="32">
        <f t="shared" si="246"/>
        <v>0.80335937249454403</v>
      </c>
      <c r="M464" s="7">
        <f t="shared" si="247"/>
        <v>0.98881138336418628</v>
      </c>
      <c r="N464" s="6">
        <f t="shared" si="248"/>
        <v>-0.29999999999999993</v>
      </c>
      <c r="O464" s="32">
        <f t="shared" si="249"/>
        <v>-0.48809257755135221</v>
      </c>
      <c r="P464" s="7">
        <f t="shared" si="250"/>
        <v>-9.1581031451640288E-2</v>
      </c>
      <c r="Q464" s="7" t="str">
        <f t="shared" si="251"/>
        <v>FAIL</v>
      </c>
    </row>
    <row r="465" spans="2:17">
      <c r="B465" s="12">
        <v>14</v>
      </c>
      <c r="C465" s="13">
        <f t="shared" si="240"/>
        <v>6</v>
      </c>
      <c r="D465" s="1"/>
      <c r="E465" s="12">
        <v>19</v>
      </c>
      <c r="F465" s="13">
        <f t="shared" si="241"/>
        <v>1</v>
      </c>
      <c r="G465" s="2"/>
      <c r="H465" s="6">
        <f t="shared" si="242"/>
        <v>0.7</v>
      </c>
      <c r="I465" s="32">
        <f t="shared" si="243"/>
        <v>0.51561697855622868</v>
      </c>
      <c r="J465" s="7">
        <f t="shared" si="244"/>
        <v>0.83646135789442599</v>
      </c>
      <c r="K465" s="6">
        <f t="shared" si="245"/>
        <v>0.95</v>
      </c>
      <c r="L465" s="32">
        <f t="shared" si="246"/>
        <v>0.80335937249454403</v>
      </c>
      <c r="M465" s="7">
        <f t="shared" si="247"/>
        <v>0.98881138336418628</v>
      </c>
      <c r="N465" s="6">
        <f t="shared" si="248"/>
        <v>-0.25</v>
      </c>
      <c r="O465" s="32">
        <f t="shared" si="249"/>
        <v>-0.43842351784046507</v>
      </c>
      <c r="P465" s="7">
        <f t="shared" si="250"/>
        <v>-4.968730486166259E-2</v>
      </c>
      <c r="Q465" s="7" t="str">
        <f t="shared" si="251"/>
        <v>FAIL</v>
      </c>
    </row>
    <row r="466" spans="2:17">
      <c r="B466" s="12">
        <v>15</v>
      </c>
      <c r="C466" s="13">
        <f t="shared" si="240"/>
        <v>5</v>
      </c>
      <c r="D466" s="1"/>
      <c r="E466" s="12">
        <v>19</v>
      </c>
      <c r="F466" s="13">
        <f t="shared" si="241"/>
        <v>1</v>
      </c>
      <c r="G466" s="2"/>
      <c r="H466" s="6">
        <f t="shared" si="242"/>
        <v>0.75</v>
      </c>
      <c r="I466" s="32">
        <f t="shared" si="243"/>
        <v>0.56720064128904046</v>
      </c>
      <c r="J466" s="7">
        <f t="shared" si="244"/>
        <v>0.87289617904322925</v>
      </c>
      <c r="K466" s="6">
        <f t="shared" si="245"/>
        <v>0.95</v>
      </c>
      <c r="L466" s="32">
        <f t="shared" si="246"/>
        <v>0.80335937249454403</v>
      </c>
      <c r="M466" s="7">
        <f t="shared" si="247"/>
        <v>0.98881138336418628</v>
      </c>
      <c r="N466" s="6">
        <f t="shared" si="248"/>
        <v>-0.19999999999999996</v>
      </c>
      <c r="O466" s="32">
        <f t="shared" si="249"/>
        <v>-0.38687409939255862</v>
      </c>
      <c r="P466" s="7">
        <f t="shared" si="250"/>
        <v>-8.6705865304047003E-3</v>
      </c>
      <c r="Q466" s="7" t="str">
        <f t="shared" si="251"/>
        <v>FAIL</v>
      </c>
    </row>
    <row r="467" spans="2:17">
      <c r="B467" s="12">
        <v>16</v>
      </c>
      <c r="C467" s="13">
        <f t="shared" si="240"/>
        <v>4</v>
      </c>
      <c r="D467" s="1"/>
      <c r="E467" s="12">
        <v>19</v>
      </c>
      <c r="F467" s="13">
        <f t="shared" si="241"/>
        <v>1</v>
      </c>
      <c r="G467" s="2"/>
      <c r="H467" s="6">
        <f t="shared" si="242"/>
        <v>0.8</v>
      </c>
      <c r="I467" s="32">
        <f t="shared" si="243"/>
        <v>0.62101114036509186</v>
      </c>
      <c r="J467" s="7">
        <f t="shared" si="244"/>
        <v>0.907104163848793</v>
      </c>
      <c r="K467" s="6">
        <f t="shared" si="245"/>
        <v>0.95</v>
      </c>
      <c r="L467" s="32">
        <f t="shared" si="246"/>
        <v>0.80335937249454403</v>
      </c>
      <c r="M467" s="7">
        <f t="shared" si="247"/>
        <v>0.98881138336418628</v>
      </c>
      <c r="N467" s="6">
        <f t="shared" si="248"/>
        <v>-0.14999999999999991</v>
      </c>
      <c r="O467" s="32">
        <f t="shared" si="249"/>
        <v>-0.33314839707747013</v>
      </c>
      <c r="P467" s="7">
        <f t="shared" si="250"/>
        <v>3.1589579956954023E-2</v>
      </c>
      <c r="Q467" s="7" t="str">
        <f t="shared" si="251"/>
        <v>PASS</v>
      </c>
    </row>
    <row r="468" spans="2:17">
      <c r="B468" s="12">
        <v>17</v>
      </c>
      <c r="C468" s="13">
        <f t="shared" si="240"/>
        <v>3</v>
      </c>
      <c r="D468" s="1"/>
      <c r="E468" s="12">
        <v>19</v>
      </c>
      <c r="F468" s="13">
        <f t="shared" si="241"/>
        <v>1</v>
      </c>
      <c r="G468" s="2"/>
      <c r="H468" s="6">
        <f t="shared" si="242"/>
        <v>0.85</v>
      </c>
      <c r="I468" s="32">
        <f t="shared" si="243"/>
        <v>0.67754918969065736</v>
      </c>
      <c r="J468" s="7">
        <f t="shared" si="244"/>
        <v>0.93858459840484276</v>
      </c>
      <c r="K468" s="6">
        <f t="shared" si="245"/>
        <v>0.95</v>
      </c>
      <c r="L468" s="32">
        <f t="shared" si="246"/>
        <v>0.80335937249454403</v>
      </c>
      <c r="M468" s="7">
        <f t="shared" si="247"/>
        <v>0.98881138336418628</v>
      </c>
      <c r="N468" s="6">
        <f t="shared" si="248"/>
        <v>-9.9999999999999978E-2</v>
      </c>
      <c r="O468" s="32">
        <f t="shared" si="249"/>
        <v>-0.27676426520931968</v>
      </c>
      <c r="P468" s="7">
        <f t="shared" si="250"/>
        <v>7.1320473702768977E-2</v>
      </c>
      <c r="Q468" s="7" t="str">
        <f t="shared" si="251"/>
        <v>PASS</v>
      </c>
    </row>
    <row r="469" spans="2:17">
      <c r="B469" s="12">
        <v>18</v>
      </c>
      <c r="C469" s="13">
        <f t="shared" si="240"/>
        <v>2</v>
      </c>
      <c r="D469" s="1"/>
      <c r="E469" s="12">
        <v>19</v>
      </c>
      <c r="F469" s="13">
        <f t="shared" si="241"/>
        <v>1</v>
      </c>
      <c r="G469" s="2"/>
      <c r="H469" s="6">
        <f t="shared" si="242"/>
        <v>0.9</v>
      </c>
      <c r="I469" s="32">
        <f t="shared" si="243"/>
        <v>0.7377076948078376</v>
      </c>
      <c r="J469" s="7">
        <f t="shared" si="244"/>
        <v>0.96644457716927756</v>
      </c>
      <c r="K469" s="6">
        <f t="shared" si="245"/>
        <v>0.95</v>
      </c>
      <c r="L469" s="32">
        <f t="shared" si="246"/>
        <v>0.80335937249454403</v>
      </c>
      <c r="M469" s="7">
        <f t="shared" si="247"/>
        <v>0.98881138336418628</v>
      </c>
      <c r="N469" s="6">
        <f t="shared" si="248"/>
        <v>-4.9999999999999933E-2</v>
      </c>
      <c r="O469" s="32">
        <f t="shared" si="249"/>
        <v>-0.21686855846212552</v>
      </c>
      <c r="P469" s="7">
        <f t="shared" si="250"/>
        <v>0.11099178696566472</v>
      </c>
      <c r="Q469" s="7" t="str">
        <f t="shared" si="251"/>
        <v>PASS</v>
      </c>
    </row>
    <row r="470" spans="2:17">
      <c r="B470" s="12">
        <v>19</v>
      </c>
      <c r="C470" s="13">
        <f t="shared" si="240"/>
        <v>1</v>
      </c>
      <c r="D470" s="1"/>
      <c r="E470" s="12">
        <v>19</v>
      </c>
      <c r="F470" s="13">
        <f t="shared" si="241"/>
        <v>1</v>
      </c>
      <c r="G470" s="2"/>
      <c r="H470" s="6">
        <f t="shared" si="242"/>
        <v>0.95</v>
      </c>
      <c r="I470" s="32">
        <f t="shared" si="243"/>
        <v>0.80335937249454403</v>
      </c>
      <c r="J470" s="7">
        <f t="shared" si="244"/>
        <v>0.98881138336418628</v>
      </c>
      <c r="K470" s="6">
        <f t="shared" si="245"/>
        <v>0.95</v>
      </c>
      <c r="L470" s="32">
        <f t="shared" si="246"/>
        <v>0.80335937249454403</v>
      </c>
      <c r="M470" s="7">
        <f t="shared" si="247"/>
        <v>0.98881138336418628</v>
      </c>
      <c r="N470" s="6">
        <f t="shared" si="248"/>
        <v>0</v>
      </c>
      <c r="O470" s="32">
        <f t="shared" si="249"/>
        <v>-0.15168980556990544</v>
      </c>
      <c r="P470" s="7">
        <f t="shared" si="250"/>
        <v>0.15168980556990544</v>
      </c>
      <c r="Q470" s="7" t="str">
        <f t="shared" si="251"/>
        <v>PASS</v>
      </c>
    </row>
    <row r="471" spans="2:17" ht="15" thickBot="1">
      <c r="B471" s="15">
        <v>20</v>
      </c>
      <c r="C471" s="14">
        <f t="shared" si="240"/>
        <v>0</v>
      </c>
      <c r="D471" s="1"/>
      <c r="E471" s="15">
        <v>19</v>
      </c>
      <c r="F471" s="14">
        <f t="shared" si="241"/>
        <v>1</v>
      </c>
      <c r="G471" s="2"/>
      <c r="H471" s="8">
        <f t="shared" si="242"/>
        <v>1</v>
      </c>
      <c r="I471" s="16">
        <f t="shared" si="243"/>
        <v>0.88018813951940023</v>
      </c>
      <c r="J471" s="9">
        <f t="shared" si="244"/>
        <v>1.0000011002209452</v>
      </c>
      <c r="K471" s="8">
        <f t="shared" si="245"/>
        <v>0.95</v>
      </c>
      <c r="L471" s="16">
        <f t="shared" si="246"/>
        <v>0.80335937249454403</v>
      </c>
      <c r="M471" s="9">
        <f t="shared" si="247"/>
        <v>0.98881138336418628</v>
      </c>
      <c r="N471" s="8">
        <f t="shared" si="248"/>
        <v>5.0000000000000044E-2</v>
      </c>
      <c r="O471" s="16">
        <f t="shared" si="249"/>
        <v>-7.5941277548167402E-2</v>
      </c>
      <c r="P471" s="9">
        <f t="shared" si="250"/>
        <v>0.19664062750958336</v>
      </c>
      <c r="Q471" s="9" t="str">
        <f t="shared" si="251"/>
        <v>PASS</v>
      </c>
    </row>
    <row r="472" spans="2:17" ht="15" thickBot="1"/>
    <row r="473" spans="2:17">
      <c r="B473" s="3">
        <v>0</v>
      </c>
      <c r="C473" s="11">
        <f>20-B473</f>
        <v>20</v>
      </c>
      <c r="D473" s="1"/>
      <c r="E473" s="3">
        <v>20</v>
      </c>
      <c r="F473" s="11">
        <f>20-E473</f>
        <v>0</v>
      </c>
      <c r="G473" s="2"/>
      <c r="H473" s="5">
        <f>B473/SUM(B473:C473)</f>
        <v>0</v>
      </c>
      <c r="I473" s="41">
        <f>((B473+1.3613)-(1.65*SQRT(B473-(B473^2/SUM(B473:C473))+0.6806)))/(SUM(B473:C473)+2.7225)</f>
        <v>3.3007032488877747E-6</v>
      </c>
      <c r="J473" s="4">
        <f>((B473+1.3613)+(1.65*SQRT(B473-(B473^2/SUM(B473:C473))+0.6806)))/(SUM(B473:C473)+2.7225)</f>
        <v>0.1198162614047938</v>
      </c>
      <c r="K473" s="5">
        <f>E473/SUM(E473:F473)</f>
        <v>1</v>
      </c>
      <c r="L473" s="41">
        <f>((E473+1.3613)-(1.65*SQRT(E473-(E473^2/SUM(E473:F473))+0.6806)))/(SUM(E473:F473)+2.7225)</f>
        <v>0.88018813951940023</v>
      </c>
      <c r="M473" s="4">
        <f>((E473+1.3613)+(1.65*SQRT(E473-(E473^2/SUM(E473:F473))+0.6806)))/(SUM(E473:F473)+2.7225)</f>
        <v>1.0000011002209452</v>
      </c>
      <c r="N473" s="5">
        <f>H473-K473</f>
        <v>-1</v>
      </c>
      <c r="O473" s="41">
        <f>N473-SQRT((H473-I473)^2+(K473-M473)^2)</f>
        <v>-1.0000034792424557</v>
      </c>
      <c r="P473" s="4">
        <f>N473+SQRT((H473-J473)^2+(K473-L473)^2)</f>
        <v>-0.83055733002326537</v>
      </c>
      <c r="Q473" s="4" t="str">
        <f>IF(O473*P473&lt;0,"PASS","FAIL")</f>
        <v>FAIL</v>
      </c>
    </row>
    <row r="474" spans="2:17">
      <c r="B474" s="12">
        <v>1</v>
      </c>
      <c r="C474" s="13">
        <f t="shared" ref="C474:C493" si="252">20-B474</f>
        <v>19</v>
      </c>
      <c r="D474" s="1"/>
      <c r="E474" s="12">
        <v>20</v>
      </c>
      <c r="F474" s="13">
        <f t="shared" ref="F474:F493" si="253">20-E474</f>
        <v>0</v>
      </c>
      <c r="G474" s="2"/>
      <c r="H474" s="6">
        <f t="shared" ref="H474:H493" si="254">B474/SUM(B474:C474)</f>
        <v>0.05</v>
      </c>
      <c r="I474" s="32">
        <f t="shared" ref="I474:I493" si="255">((B474+1.3613)-(1.65*SQRT(B474-(B474^2/SUM(B474:C474))+0.6806)))/(SUM(B474:C474)+2.7225)</f>
        <v>1.1193017560007713E-2</v>
      </c>
      <c r="J474" s="7">
        <f t="shared" ref="J474:J493" si="256">((B474+1.3613)+(1.65*SQRT(B474-(B474^2/SUM(B474:C474))+0.6806)))/(SUM(B474:C474)+2.7225)</f>
        <v>0.19664502842965012</v>
      </c>
      <c r="K474" s="6">
        <f t="shared" ref="K474:K493" si="257">E474/SUM(E474:F474)</f>
        <v>1</v>
      </c>
      <c r="L474" s="32">
        <f t="shared" ref="L474:L493" si="258">((E474+1.3613)-(1.65*SQRT(E474-(E474^2/SUM(E474:F474))+0.6806)))/(SUM(E474:F474)+2.7225)</f>
        <v>0.88018813951940023</v>
      </c>
      <c r="M474" s="7">
        <f t="shared" ref="M474:M493" si="259">((E474+1.3613)+(1.65*SQRT(E474-(E474^2/SUM(E474:F474))+0.6806)))/(SUM(E474:F474)+2.7225)</f>
        <v>1.0000011002209452</v>
      </c>
      <c r="N474" s="6">
        <f t="shared" ref="N474:N493" si="260">H474-K474</f>
        <v>-0.95</v>
      </c>
      <c r="O474" s="32">
        <f t="shared" ref="O474:O493" si="261">N474-SQRT((H474-I474)^2+(K474-M474)^2)</f>
        <v>-0.98880698245558851</v>
      </c>
      <c r="P474" s="7">
        <f t="shared" ref="P474:P493" si="262">N474+SQRT((H474-J474)^2+(K474-L474)^2)</f>
        <v>-0.76063356613445032</v>
      </c>
      <c r="Q474" s="7" t="str">
        <f t="shared" ref="Q474:Q493" si="263">IF(O474*P474&lt;0,"PASS","FAIL")</f>
        <v>FAIL</v>
      </c>
    </row>
    <row r="475" spans="2:17">
      <c r="B475" s="12">
        <v>2</v>
      </c>
      <c r="C475" s="13">
        <f t="shared" si="252"/>
        <v>18</v>
      </c>
      <c r="D475" s="1"/>
      <c r="E475" s="12">
        <v>20</v>
      </c>
      <c r="F475" s="13">
        <f t="shared" si="253"/>
        <v>0</v>
      </c>
      <c r="G475" s="2"/>
      <c r="H475" s="6">
        <f t="shared" si="254"/>
        <v>0.1</v>
      </c>
      <c r="I475" s="32">
        <f t="shared" si="255"/>
        <v>3.3559823754916465E-2</v>
      </c>
      <c r="J475" s="7">
        <f t="shared" si="256"/>
        <v>0.26229670611635653</v>
      </c>
      <c r="K475" s="6">
        <f t="shared" si="257"/>
        <v>1</v>
      </c>
      <c r="L475" s="32">
        <f t="shared" si="258"/>
        <v>0.88018813951940023</v>
      </c>
      <c r="M475" s="7">
        <f t="shared" si="259"/>
        <v>1.0000011002209452</v>
      </c>
      <c r="N475" s="6">
        <f t="shared" si="260"/>
        <v>-0.9</v>
      </c>
      <c r="O475" s="32">
        <f t="shared" si="261"/>
        <v>-0.96644017625419321</v>
      </c>
      <c r="P475" s="7">
        <f t="shared" si="262"/>
        <v>-0.69826972778474294</v>
      </c>
      <c r="Q475" s="7" t="str">
        <f t="shared" si="263"/>
        <v>FAIL</v>
      </c>
    </row>
    <row r="476" spans="2:17">
      <c r="B476" s="12">
        <v>3</v>
      </c>
      <c r="C476" s="13">
        <f t="shared" si="252"/>
        <v>17</v>
      </c>
      <c r="D476" s="1"/>
      <c r="E476" s="12">
        <v>20</v>
      </c>
      <c r="F476" s="13">
        <f t="shared" si="253"/>
        <v>0</v>
      </c>
      <c r="G476" s="2"/>
      <c r="H476" s="6">
        <f t="shared" si="254"/>
        <v>0.15</v>
      </c>
      <c r="I476" s="32">
        <f t="shared" si="255"/>
        <v>6.1419802519351356E-2</v>
      </c>
      <c r="J476" s="7">
        <f t="shared" si="256"/>
        <v>0.32245521123353676</v>
      </c>
      <c r="K476" s="6">
        <f t="shared" si="257"/>
        <v>1</v>
      </c>
      <c r="L476" s="32">
        <f t="shared" si="258"/>
        <v>0.88018813951940023</v>
      </c>
      <c r="M476" s="7">
        <f t="shared" si="259"/>
        <v>1.0000011002209452</v>
      </c>
      <c r="N476" s="6">
        <f t="shared" si="260"/>
        <v>-0.85</v>
      </c>
      <c r="O476" s="32">
        <f t="shared" si="261"/>
        <v>-0.93858019748748134</v>
      </c>
      <c r="P476" s="7">
        <f t="shared" si="262"/>
        <v>-0.64001028169592089</v>
      </c>
      <c r="Q476" s="7" t="str">
        <f t="shared" si="263"/>
        <v>FAIL</v>
      </c>
    </row>
    <row r="477" spans="2:17">
      <c r="B477" s="12">
        <v>4</v>
      </c>
      <c r="C477" s="13">
        <f t="shared" si="252"/>
        <v>16</v>
      </c>
      <c r="D477" s="1"/>
      <c r="E477" s="12">
        <v>20</v>
      </c>
      <c r="F477" s="13">
        <f t="shared" si="253"/>
        <v>0</v>
      </c>
      <c r="G477" s="2"/>
      <c r="H477" s="6">
        <f t="shared" si="254"/>
        <v>0.2</v>
      </c>
      <c r="I477" s="32">
        <f t="shared" si="255"/>
        <v>9.2900237075401015E-2</v>
      </c>
      <c r="J477" s="7">
        <f t="shared" si="256"/>
        <v>0.37899326055910226</v>
      </c>
      <c r="K477" s="6">
        <f t="shared" si="257"/>
        <v>1</v>
      </c>
      <c r="L477" s="32">
        <f t="shared" si="258"/>
        <v>0.88018813951940023</v>
      </c>
      <c r="M477" s="7">
        <f t="shared" si="259"/>
        <v>1.0000011002209452</v>
      </c>
      <c r="N477" s="6">
        <f t="shared" si="260"/>
        <v>-0.8</v>
      </c>
      <c r="O477" s="32">
        <f t="shared" si="261"/>
        <v>-0.9070997629302503</v>
      </c>
      <c r="P477" s="7">
        <f t="shared" si="262"/>
        <v>-0.5846085674001833</v>
      </c>
      <c r="Q477" s="7" t="str">
        <f t="shared" si="263"/>
        <v>FAIL</v>
      </c>
    </row>
    <row r="478" spans="2:17">
      <c r="B478" s="12">
        <v>5</v>
      </c>
      <c r="C478" s="13">
        <f t="shared" si="252"/>
        <v>15</v>
      </c>
      <c r="D478" s="1"/>
      <c r="E478" s="12">
        <v>20</v>
      </c>
      <c r="F478" s="13">
        <f t="shared" si="253"/>
        <v>0</v>
      </c>
      <c r="G478" s="2"/>
      <c r="H478" s="6">
        <f t="shared" si="254"/>
        <v>0.25</v>
      </c>
      <c r="I478" s="32">
        <f t="shared" si="255"/>
        <v>0.12710822188096477</v>
      </c>
      <c r="J478" s="7">
        <f t="shared" si="256"/>
        <v>0.43280375963515361</v>
      </c>
      <c r="K478" s="6">
        <f t="shared" si="257"/>
        <v>1</v>
      </c>
      <c r="L478" s="32">
        <f t="shared" si="258"/>
        <v>0.88018813951940023</v>
      </c>
      <c r="M478" s="7">
        <f t="shared" si="259"/>
        <v>1.0000011002209452</v>
      </c>
      <c r="N478" s="6">
        <f t="shared" si="260"/>
        <v>-0.75</v>
      </c>
      <c r="O478" s="32">
        <f t="shared" si="261"/>
        <v>-0.87289177812396024</v>
      </c>
      <c r="P478" s="7">
        <f t="shared" si="262"/>
        <v>-0.53143171216169138</v>
      </c>
      <c r="Q478" s="7" t="str">
        <f t="shared" si="263"/>
        <v>FAIL</v>
      </c>
    </row>
    <row r="479" spans="2:17">
      <c r="B479" s="12">
        <v>6</v>
      </c>
      <c r="C479" s="13">
        <f t="shared" si="252"/>
        <v>14</v>
      </c>
      <c r="D479" s="1"/>
      <c r="E479" s="12">
        <v>20</v>
      </c>
      <c r="F479" s="13">
        <f t="shared" si="253"/>
        <v>0</v>
      </c>
      <c r="G479" s="2"/>
      <c r="H479" s="6">
        <f t="shared" si="254"/>
        <v>0.3</v>
      </c>
      <c r="I479" s="32">
        <f t="shared" si="255"/>
        <v>0.16354304302976813</v>
      </c>
      <c r="J479" s="7">
        <f t="shared" si="256"/>
        <v>0.48438742236796539</v>
      </c>
      <c r="K479" s="6">
        <f t="shared" si="257"/>
        <v>1</v>
      </c>
      <c r="L479" s="32">
        <f t="shared" si="258"/>
        <v>0.88018813951940023</v>
      </c>
      <c r="M479" s="7">
        <f t="shared" si="259"/>
        <v>1.0000011002209452</v>
      </c>
      <c r="N479" s="6">
        <f t="shared" si="260"/>
        <v>-0.7</v>
      </c>
      <c r="O479" s="32">
        <f t="shared" si="261"/>
        <v>-0.83645695697466727</v>
      </c>
      <c r="P479" s="7">
        <f t="shared" si="262"/>
        <v>-0.48010547201140907</v>
      </c>
      <c r="Q479" s="7" t="str">
        <f t="shared" si="263"/>
        <v>FAIL</v>
      </c>
    </row>
    <row r="480" spans="2:17">
      <c r="B480" s="12">
        <v>7</v>
      </c>
      <c r="C480" s="13">
        <f t="shared" si="252"/>
        <v>13</v>
      </c>
      <c r="D480" s="1"/>
      <c r="E480" s="12">
        <v>20</v>
      </c>
      <c r="F480" s="13">
        <f t="shared" si="253"/>
        <v>0</v>
      </c>
      <c r="G480" s="2"/>
      <c r="H480" s="6">
        <f t="shared" si="254"/>
        <v>0.35</v>
      </c>
      <c r="I480" s="32">
        <f t="shared" si="255"/>
        <v>0.20189973247796225</v>
      </c>
      <c r="J480" s="7">
        <f t="shared" si="256"/>
        <v>0.53404921680138639</v>
      </c>
      <c r="K480" s="6">
        <f t="shared" si="257"/>
        <v>1</v>
      </c>
      <c r="L480" s="32">
        <f t="shared" si="258"/>
        <v>0.88018813951940023</v>
      </c>
      <c r="M480" s="7">
        <f t="shared" si="259"/>
        <v>1.0000011002209452</v>
      </c>
      <c r="N480" s="6">
        <f t="shared" si="260"/>
        <v>-0.65</v>
      </c>
      <c r="O480" s="32">
        <f t="shared" si="261"/>
        <v>-0.7981002675261244</v>
      </c>
      <c r="P480" s="7">
        <f t="shared" si="262"/>
        <v>-0.43038898908063272</v>
      </c>
      <c r="Q480" s="7" t="str">
        <f t="shared" si="263"/>
        <v>FAIL</v>
      </c>
    </row>
    <row r="481" spans="2:17">
      <c r="B481" s="12">
        <v>8</v>
      </c>
      <c r="C481" s="13">
        <f t="shared" si="252"/>
        <v>12</v>
      </c>
      <c r="D481" s="1"/>
      <c r="E481" s="12">
        <v>20</v>
      </c>
      <c r="F481" s="13">
        <f t="shared" si="253"/>
        <v>0</v>
      </c>
      <c r="G481" s="2"/>
      <c r="H481" s="6">
        <f t="shared" si="254"/>
        <v>0.4</v>
      </c>
      <c r="I481" s="32">
        <f t="shared" si="255"/>
        <v>0.24198647075497337</v>
      </c>
      <c r="J481" s="7">
        <f t="shared" si="256"/>
        <v>0.5819809624059904</v>
      </c>
      <c r="K481" s="6">
        <f t="shared" si="257"/>
        <v>1</v>
      </c>
      <c r="L481" s="32">
        <f t="shared" si="258"/>
        <v>0.88018813951940023</v>
      </c>
      <c r="M481" s="7">
        <f t="shared" si="259"/>
        <v>1.0000011002209452</v>
      </c>
      <c r="N481" s="6">
        <f t="shared" si="260"/>
        <v>-0.6</v>
      </c>
      <c r="O481" s="32">
        <f t="shared" si="261"/>
        <v>-0.75801352924885701</v>
      </c>
      <c r="P481" s="7">
        <f t="shared" si="262"/>
        <v>-0.3821194074956808</v>
      </c>
      <c r="Q481" s="7" t="str">
        <f t="shared" si="263"/>
        <v>FAIL</v>
      </c>
    </row>
    <row r="482" spans="2:17">
      <c r="B482" s="12">
        <v>9</v>
      </c>
      <c r="C482" s="13">
        <f t="shared" si="252"/>
        <v>11</v>
      </c>
      <c r="D482" s="1"/>
      <c r="E482" s="12">
        <v>20</v>
      </c>
      <c r="F482" s="13">
        <f t="shared" si="253"/>
        <v>0</v>
      </c>
      <c r="G482" s="2"/>
      <c r="H482" s="6">
        <f t="shared" si="254"/>
        <v>0.45</v>
      </c>
      <c r="I482" s="32">
        <f t="shared" si="255"/>
        <v>0.28368506621578338</v>
      </c>
      <c r="J482" s="7">
        <f t="shared" si="256"/>
        <v>0.62830085082679554</v>
      </c>
      <c r="K482" s="6">
        <f t="shared" si="257"/>
        <v>1</v>
      </c>
      <c r="L482" s="32">
        <f t="shared" si="258"/>
        <v>0.88018813951940023</v>
      </c>
      <c r="M482" s="7">
        <f t="shared" si="259"/>
        <v>1.0000011002209452</v>
      </c>
      <c r="N482" s="6">
        <f t="shared" si="260"/>
        <v>-0.55000000000000004</v>
      </c>
      <c r="O482" s="32">
        <f t="shared" si="261"/>
        <v>-0.71631493378785582</v>
      </c>
      <c r="P482" s="7">
        <f t="shared" si="262"/>
        <v>-0.33518362418711678</v>
      </c>
      <c r="Q482" s="7" t="str">
        <f t="shared" si="263"/>
        <v>FAIL</v>
      </c>
    </row>
    <row r="483" spans="2:17">
      <c r="B483" s="12">
        <v>10</v>
      </c>
      <c r="C483" s="13">
        <f t="shared" si="252"/>
        <v>10</v>
      </c>
      <c r="D483" s="1"/>
      <c r="E483" s="12">
        <v>20</v>
      </c>
      <c r="F483" s="13">
        <f t="shared" si="253"/>
        <v>0</v>
      </c>
      <c r="G483" s="2"/>
      <c r="H483" s="6">
        <f t="shared" si="254"/>
        <v>0.5</v>
      </c>
      <c r="I483" s="32">
        <f t="shared" si="255"/>
        <v>0.32693094787634341</v>
      </c>
      <c r="J483" s="7">
        <f t="shared" si="256"/>
        <v>0.6730734530478506</v>
      </c>
      <c r="K483" s="6">
        <f t="shared" si="257"/>
        <v>1</v>
      </c>
      <c r="L483" s="32">
        <f t="shared" si="258"/>
        <v>0.88018813951940023</v>
      </c>
      <c r="M483" s="7">
        <f t="shared" si="259"/>
        <v>1.0000011002209452</v>
      </c>
      <c r="N483" s="6">
        <f t="shared" si="260"/>
        <v>-0.5</v>
      </c>
      <c r="O483" s="32">
        <f t="shared" si="261"/>
        <v>-0.67306905212715373</v>
      </c>
      <c r="P483" s="7">
        <f t="shared" si="262"/>
        <v>-0.28950225164688992</v>
      </c>
      <c r="Q483" s="7" t="str">
        <f t="shared" si="263"/>
        <v>FAIL</v>
      </c>
    </row>
    <row r="484" spans="2:17">
      <c r="B484" s="12">
        <v>11</v>
      </c>
      <c r="C484" s="13">
        <f t="shared" si="252"/>
        <v>9</v>
      </c>
      <c r="D484" s="1"/>
      <c r="E484" s="12">
        <v>20</v>
      </c>
      <c r="F484" s="13">
        <f t="shared" si="253"/>
        <v>0</v>
      </c>
      <c r="G484" s="2"/>
      <c r="H484" s="6">
        <f t="shared" si="254"/>
        <v>0.55000000000000004</v>
      </c>
      <c r="I484" s="32">
        <f t="shared" si="255"/>
        <v>0.37170355009739847</v>
      </c>
      <c r="J484" s="7">
        <f t="shared" si="256"/>
        <v>0.71631933470841069</v>
      </c>
      <c r="K484" s="6">
        <f t="shared" si="257"/>
        <v>1</v>
      </c>
      <c r="L484" s="32">
        <f t="shared" si="258"/>
        <v>0.88018813951940023</v>
      </c>
      <c r="M484" s="7">
        <f t="shared" si="259"/>
        <v>1.0000011002209452</v>
      </c>
      <c r="N484" s="6">
        <f t="shared" si="260"/>
        <v>-0.44999999999999996</v>
      </c>
      <c r="O484" s="32">
        <f t="shared" si="261"/>
        <v>-0.62829644990599609</v>
      </c>
      <c r="P484" s="7">
        <f t="shared" si="262"/>
        <v>-0.24501950578244999</v>
      </c>
      <c r="Q484" s="7" t="str">
        <f t="shared" si="263"/>
        <v>FAIL</v>
      </c>
    </row>
    <row r="485" spans="2:17">
      <c r="B485" s="12">
        <v>12</v>
      </c>
      <c r="C485" s="13">
        <f t="shared" si="252"/>
        <v>8</v>
      </c>
      <c r="D485" s="1"/>
      <c r="E485" s="12">
        <v>20</v>
      </c>
      <c r="F485" s="13">
        <f t="shared" si="253"/>
        <v>0</v>
      </c>
      <c r="G485" s="2"/>
      <c r="H485" s="6">
        <f t="shared" si="254"/>
        <v>0.6</v>
      </c>
      <c r="I485" s="32">
        <f t="shared" si="255"/>
        <v>0.41802343851820367</v>
      </c>
      <c r="J485" s="7">
        <f t="shared" si="256"/>
        <v>0.75801793016922059</v>
      </c>
      <c r="K485" s="6">
        <f t="shared" si="257"/>
        <v>1</v>
      </c>
      <c r="L485" s="32">
        <f t="shared" si="258"/>
        <v>0.88018813951940023</v>
      </c>
      <c r="M485" s="7">
        <f t="shared" si="259"/>
        <v>1.0000011002209452</v>
      </c>
      <c r="N485" s="6">
        <f t="shared" si="260"/>
        <v>-0.4</v>
      </c>
      <c r="O485" s="32">
        <f t="shared" si="261"/>
        <v>-0.58197656148512222</v>
      </c>
      <c r="P485" s="7">
        <f t="shared" si="262"/>
        <v>-0.20169581908898798</v>
      </c>
      <c r="Q485" s="7" t="str">
        <f t="shared" si="263"/>
        <v>FAIL</v>
      </c>
    </row>
    <row r="486" spans="2:17">
      <c r="B486" s="12">
        <v>13</v>
      </c>
      <c r="C486" s="13">
        <f t="shared" si="252"/>
        <v>7</v>
      </c>
      <c r="D486" s="1"/>
      <c r="E486" s="12">
        <v>20</v>
      </c>
      <c r="F486" s="13">
        <f t="shared" si="253"/>
        <v>0</v>
      </c>
      <c r="G486" s="2"/>
      <c r="H486" s="6">
        <f t="shared" si="254"/>
        <v>0.65</v>
      </c>
      <c r="I486" s="32">
        <f t="shared" si="255"/>
        <v>0.46595518412280768</v>
      </c>
      <c r="J486" s="7">
        <f t="shared" si="256"/>
        <v>0.79810466844623185</v>
      </c>
      <c r="K486" s="6">
        <f t="shared" si="257"/>
        <v>1</v>
      </c>
      <c r="L486" s="32">
        <f t="shared" si="258"/>
        <v>0.88018813951940023</v>
      </c>
      <c r="M486" s="7">
        <f t="shared" si="259"/>
        <v>1.0000011002209452</v>
      </c>
      <c r="N486" s="6">
        <f t="shared" si="260"/>
        <v>-0.35</v>
      </c>
      <c r="O486" s="32">
        <f t="shared" si="261"/>
        <v>-0.53404481588048092</v>
      </c>
      <c r="P486" s="7">
        <f t="shared" si="262"/>
        <v>-0.15950098497002413</v>
      </c>
      <c r="Q486" s="7" t="str">
        <f t="shared" si="263"/>
        <v>FAIL</v>
      </c>
    </row>
    <row r="487" spans="2:17">
      <c r="B487" s="12">
        <v>14</v>
      </c>
      <c r="C487" s="13">
        <f t="shared" si="252"/>
        <v>6</v>
      </c>
      <c r="D487" s="1"/>
      <c r="E487" s="12">
        <v>20</v>
      </c>
      <c r="F487" s="13">
        <f t="shared" si="253"/>
        <v>0</v>
      </c>
      <c r="G487" s="2"/>
      <c r="H487" s="6">
        <f t="shared" si="254"/>
        <v>0.7</v>
      </c>
      <c r="I487" s="32">
        <f t="shared" si="255"/>
        <v>0.51561697855622868</v>
      </c>
      <c r="J487" s="7">
        <f t="shared" si="256"/>
        <v>0.83646135789442599</v>
      </c>
      <c r="K487" s="6">
        <f t="shared" si="257"/>
        <v>1</v>
      </c>
      <c r="L487" s="32">
        <f t="shared" si="258"/>
        <v>0.88018813951940023</v>
      </c>
      <c r="M487" s="7">
        <f t="shared" si="259"/>
        <v>1.0000011002209452</v>
      </c>
      <c r="N487" s="6">
        <f t="shared" si="260"/>
        <v>-0.30000000000000004</v>
      </c>
      <c r="O487" s="32">
        <f t="shared" si="261"/>
        <v>-0.48438302144705386</v>
      </c>
      <c r="P487" s="7">
        <f t="shared" si="262"/>
        <v>-0.11840544030667297</v>
      </c>
      <c r="Q487" s="7" t="str">
        <f t="shared" si="263"/>
        <v>FAIL</v>
      </c>
    </row>
    <row r="488" spans="2:17">
      <c r="B488" s="12">
        <v>15</v>
      </c>
      <c r="C488" s="13">
        <f t="shared" si="252"/>
        <v>5</v>
      </c>
      <c r="D488" s="1"/>
      <c r="E488" s="12">
        <v>20</v>
      </c>
      <c r="F488" s="13">
        <f t="shared" si="253"/>
        <v>0</v>
      </c>
      <c r="G488" s="2"/>
      <c r="H488" s="6">
        <f t="shared" si="254"/>
        <v>0.75</v>
      </c>
      <c r="I488" s="32">
        <f t="shared" si="255"/>
        <v>0.56720064128904046</v>
      </c>
      <c r="J488" s="7">
        <f t="shared" si="256"/>
        <v>0.87289617904322925</v>
      </c>
      <c r="K488" s="6">
        <f t="shared" si="257"/>
        <v>1</v>
      </c>
      <c r="L488" s="32">
        <f t="shared" si="258"/>
        <v>0.88018813951940023</v>
      </c>
      <c r="M488" s="7">
        <f t="shared" si="259"/>
        <v>1.0000011002209452</v>
      </c>
      <c r="N488" s="6">
        <f t="shared" si="260"/>
        <v>-0.25</v>
      </c>
      <c r="O488" s="32">
        <f t="shared" si="261"/>
        <v>-0.4327993587142705</v>
      </c>
      <c r="P488" s="7">
        <f t="shared" si="262"/>
        <v>-7.8365642322849094E-2</v>
      </c>
      <c r="Q488" s="7" t="str">
        <f t="shared" si="263"/>
        <v>FAIL</v>
      </c>
    </row>
    <row r="489" spans="2:17">
      <c r="B489" s="12">
        <v>16</v>
      </c>
      <c r="C489" s="13">
        <f t="shared" si="252"/>
        <v>4</v>
      </c>
      <c r="D489" s="1"/>
      <c r="E489" s="12">
        <v>20</v>
      </c>
      <c r="F489" s="13">
        <f t="shared" si="253"/>
        <v>0</v>
      </c>
      <c r="G489" s="2"/>
      <c r="H489" s="6">
        <f t="shared" si="254"/>
        <v>0.8</v>
      </c>
      <c r="I489" s="32">
        <f t="shared" si="255"/>
        <v>0.62101114036509186</v>
      </c>
      <c r="J489" s="7">
        <f t="shared" si="256"/>
        <v>0.907104163848793</v>
      </c>
      <c r="K489" s="6">
        <f t="shared" si="257"/>
        <v>1</v>
      </c>
      <c r="L489" s="32">
        <f t="shared" si="258"/>
        <v>0.88018813951940023</v>
      </c>
      <c r="M489" s="7">
        <f t="shared" si="259"/>
        <v>1.0000011002209452</v>
      </c>
      <c r="N489" s="6">
        <f t="shared" si="260"/>
        <v>-0.19999999999999996</v>
      </c>
      <c r="O489" s="32">
        <f t="shared" si="261"/>
        <v>-0.3789888596382896</v>
      </c>
      <c r="P489" s="7">
        <f t="shared" si="262"/>
        <v>-3.9294729938399942E-2</v>
      </c>
      <c r="Q489" s="7" t="str">
        <f t="shared" si="263"/>
        <v>FAIL</v>
      </c>
    </row>
    <row r="490" spans="2:17">
      <c r="B490" s="12">
        <v>17</v>
      </c>
      <c r="C490" s="13">
        <f t="shared" si="252"/>
        <v>3</v>
      </c>
      <c r="D490" s="1"/>
      <c r="E490" s="12">
        <v>20</v>
      </c>
      <c r="F490" s="13">
        <f t="shared" si="253"/>
        <v>0</v>
      </c>
      <c r="G490" s="2"/>
      <c r="H490" s="6">
        <f t="shared" si="254"/>
        <v>0.85</v>
      </c>
      <c r="I490" s="32">
        <f t="shared" si="255"/>
        <v>0.67754918969065736</v>
      </c>
      <c r="J490" s="7">
        <f t="shared" si="256"/>
        <v>0.93858459840484276</v>
      </c>
      <c r="K490" s="6">
        <f t="shared" si="257"/>
        <v>1</v>
      </c>
      <c r="L490" s="32">
        <f t="shared" si="258"/>
        <v>0.88018813951940023</v>
      </c>
      <c r="M490" s="7">
        <f t="shared" si="259"/>
        <v>1.0000011002209452</v>
      </c>
      <c r="N490" s="6">
        <f t="shared" si="260"/>
        <v>-0.15000000000000002</v>
      </c>
      <c r="O490" s="32">
        <f t="shared" si="261"/>
        <v>-0.32245081031285228</v>
      </c>
      <c r="P490" s="7">
        <f t="shared" si="262"/>
        <v>-9.9626519321746598E-4</v>
      </c>
      <c r="Q490" s="7" t="str">
        <f t="shared" si="263"/>
        <v>FAIL</v>
      </c>
    </row>
    <row r="491" spans="2:17">
      <c r="B491" s="12">
        <v>18</v>
      </c>
      <c r="C491" s="13">
        <f t="shared" si="252"/>
        <v>2</v>
      </c>
      <c r="D491" s="1"/>
      <c r="E491" s="12">
        <v>20</v>
      </c>
      <c r="F491" s="13">
        <f t="shared" si="253"/>
        <v>0</v>
      </c>
      <c r="G491" s="2"/>
      <c r="H491" s="6">
        <f t="shared" si="254"/>
        <v>0.9</v>
      </c>
      <c r="I491" s="32">
        <f t="shared" si="255"/>
        <v>0.7377076948078376</v>
      </c>
      <c r="J491" s="7">
        <f t="shared" si="256"/>
        <v>0.96644457716927756</v>
      </c>
      <c r="K491" s="6">
        <f t="shared" si="257"/>
        <v>1</v>
      </c>
      <c r="L491" s="32">
        <f t="shared" si="258"/>
        <v>0.88018813951940023</v>
      </c>
      <c r="M491" s="7">
        <f t="shared" si="259"/>
        <v>1.0000011002209452</v>
      </c>
      <c r="N491" s="6">
        <f t="shared" si="260"/>
        <v>-9.9999999999999978E-2</v>
      </c>
      <c r="O491" s="32">
        <f t="shared" si="261"/>
        <v>-0.26229230519589175</v>
      </c>
      <c r="P491" s="7">
        <f t="shared" si="262"/>
        <v>3.7002787369552398E-2</v>
      </c>
      <c r="Q491" s="7" t="str">
        <f t="shared" si="263"/>
        <v>PASS</v>
      </c>
    </row>
    <row r="492" spans="2:17">
      <c r="B492" s="12">
        <v>19</v>
      </c>
      <c r="C492" s="13">
        <f t="shared" si="252"/>
        <v>1</v>
      </c>
      <c r="D492" s="1"/>
      <c r="E492" s="12">
        <v>20</v>
      </c>
      <c r="F492" s="13">
        <f t="shared" si="253"/>
        <v>0</v>
      </c>
      <c r="G492" s="2"/>
      <c r="H492" s="6">
        <f t="shared" si="254"/>
        <v>0.95</v>
      </c>
      <c r="I492" s="32">
        <f t="shared" si="255"/>
        <v>0.80335937249454403</v>
      </c>
      <c r="J492" s="7">
        <f t="shared" si="256"/>
        <v>0.98881138336418628</v>
      </c>
      <c r="K492" s="6">
        <f t="shared" si="257"/>
        <v>1</v>
      </c>
      <c r="L492" s="32">
        <f t="shared" si="258"/>
        <v>0.88018813951940023</v>
      </c>
      <c r="M492" s="7">
        <f t="shared" si="259"/>
        <v>1.0000011002209452</v>
      </c>
      <c r="N492" s="6">
        <f t="shared" si="260"/>
        <v>-5.0000000000000044E-2</v>
      </c>
      <c r="O492" s="32">
        <f t="shared" si="261"/>
        <v>-0.19664062750958336</v>
      </c>
      <c r="P492" s="7">
        <f t="shared" si="262"/>
        <v>7.5941277548167402E-2</v>
      </c>
      <c r="Q492" s="7" t="str">
        <f t="shared" si="263"/>
        <v>PASS</v>
      </c>
    </row>
    <row r="493" spans="2:17" ht="15" thickBot="1">
      <c r="B493" s="15">
        <v>20</v>
      </c>
      <c r="C493" s="14">
        <f t="shared" si="252"/>
        <v>0</v>
      </c>
      <c r="D493" s="1"/>
      <c r="E493" s="15">
        <v>20</v>
      </c>
      <c r="F493" s="14">
        <f t="shared" si="253"/>
        <v>0</v>
      </c>
      <c r="G493" s="2"/>
      <c r="H493" s="8">
        <f t="shared" si="254"/>
        <v>1</v>
      </c>
      <c r="I493" s="16">
        <f t="shared" si="255"/>
        <v>0.88018813951940023</v>
      </c>
      <c r="J493" s="9">
        <f t="shared" si="256"/>
        <v>1.0000011002209452</v>
      </c>
      <c r="K493" s="8">
        <f t="shared" si="257"/>
        <v>1</v>
      </c>
      <c r="L493" s="16">
        <f t="shared" si="258"/>
        <v>0.88018813951940023</v>
      </c>
      <c r="M493" s="9">
        <f t="shared" si="259"/>
        <v>1.0000011002209452</v>
      </c>
      <c r="N493" s="8">
        <f t="shared" si="260"/>
        <v>0</v>
      </c>
      <c r="O493" s="16">
        <f t="shared" si="261"/>
        <v>-0.11981186048565139</v>
      </c>
      <c r="P493" s="9">
        <f t="shared" si="262"/>
        <v>0.11981186048565139</v>
      </c>
      <c r="Q493" s="9" t="str">
        <f t="shared" si="263"/>
        <v>PASS</v>
      </c>
    </row>
  </sheetData>
  <mergeCells count="10">
    <mergeCell ref="B27:C27"/>
    <mergeCell ref="Y4:Y5"/>
    <mergeCell ref="D4:X4"/>
    <mergeCell ref="B6:B26"/>
    <mergeCell ref="H31:J31"/>
    <mergeCell ref="K31:M31"/>
    <mergeCell ref="N31:P31"/>
    <mergeCell ref="E31:F31"/>
    <mergeCell ref="B31:C31"/>
    <mergeCell ref="Q31:Q32"/>
  </mergeCells>
  <conditionalFormatting sqref="B33:C53">
    <cfRule type="expression" dxfId="43" priority="65" stopIfTrue="1">
      <formula>#REF!="Fail"</formula>
    </cfRule>
  </conditionalFormatting>
  <conditionalFormatting sqref="B55:C75">
    <cfRule type="expression" dxfId="42" priority="59" stopIfTrue="1">
      <formula>#REF!="Fail"</formula>
    </cfRule>
  </conditionalFormatting>
  <conditionalFormatting sqref="B77:C97">
    <cfRule type="expression" dxfId="41" priority="56" stopIfTrue="1">
      <formula>#REF!="Fail"</formula>
    </cfRule>
  </conditionalFormatting>
  <conditionalFormatting sqref="B99:C119">
    <cfRule type="expression" dxfId="40" priority="53" stopIfTrue="1">
      <formula>#REF!="Fail"</formula>
    </cfRule>
  </conditionalFormatting>
  <conditionalFormatting sqref="B121:C141">
    <cfRule type="expression" dxfId="39" priority="50" stopIfTrue="1">
      <formula>#REF!="Fail"</formula>
    </cfRule>
  </conditionalFormatting>
  <conditionalFormatting sqref="B143:C163">
    <cfRule type="expression" dxfId="38" priority="47" stopIfTrue="1">
      <formula>#REF!="Fail"</formula>
    </cfRule>
  </conditionalFormatting>
  <conditionalFormatting sqref="B165:C185">
    <cfRule type="expression" dxfId="37" priority="44" stopIfTrue="1">
      <formula>#REF!="Fail"</formula>
    </cfRule>
  </conditionalFormatting>
  <conditionalFormatting sqref="B187:C207">
    <cfRule type="expression" dxfId="36" priority="41" stopIfTrue="1">
      <formula>#REF!="Fail"</formula>
    </cfRule>
  </conditionalFormatting>
  <conditionalFormatting sqref="B209:C229">
    <cfRule type="expression" dxfId="35" priority="38" stopIfTrue="1">
      <formula>#REF!="Fail"</formula>
    </cfRule>
  </conditionalFormatting>
  <conditionalFormatting sqref="B231:C251">
    <cfRule type="expression" dxfId="34" priority="35" stopIfTrue="1">
      <formula>#REF!="Fail"</formula>
    </cfRule>
  </conditionalFormatting>
  <conditionalFormatting sqref="B253:C273">
    <cfRule type="expression" dxfId="33" priority="32" stopIfTrue="1">
      <formula>#REF!="Fail"</formula>
    </cfRule>
  </conditionalFormatting>
  <conditionalFormatting sqref="B275:C295">
    <cfRule type="expression" dxfId="32" priority="29" stopIfTrue="1">
      <formula>#REF!="Fail"</formula>
    </cfRule>
  </conditionalFormatting>
  <conditionalFormatting sqref="B297:C317">
    <cfRule type="expression" dxfId="31" priority="26" stopIfTrue="1">
      <formula>#REF!="Fail"</formula>
    </cfRule>
  </conditionalFormatting>
  <conditionalFormatting sqref="B319:C339">
    <cfRule type="expression" dxfId="30" priority="23" stopIfTrue="1">
      <formula>#REF!="Fail"</formula>
    </cfRule>
  </conditionalFormatting>
  <conditionalFormatting sqref="B341:C361">
    <cfRule type="expression" dxfId="29" priority="20" stopIfTrue="1">
      <formula>#REF!="Fail"</formula>
    </cfRule>
  </conditionalFormatting>
  <conditionalFormatting sqref="B363:C383">
    <cfRule type="expression" dxfId="28" priority="17" stopIfTrue="1">
      <formula>#REF!="Fail"</formula>
    </cfRule>
  </conditionalFormatting>
  <conditionalFormatting sqref="B385:C405">
    <cfRule type="expression" dxfId="27" priority="14" stopIfTrue="1">
      <formula>#REF!="Fail"</formula>
    </cfRule>
  </conditionalFormatting>
  <conditionalFormatting sqref="B407:C427">
    <cfRule type="expression" dxfId="26" priority="11" stopIfTrue="1">
      <formula>#REF!="Fail"</formula>
    </cfRule>
  </conditionalFormatting>
  <conditionalFormatting sqref="B429:C449">
    <cfRule type="expression" dxfId="25" priority="8" stopIfTrue="1">
      <formula>#REF!="Fail"</formula>
    </cfRule>
  </conditionalFormatting>
  <conditionalFormatting sqref="B451:C471">
    <cfRule type="expression" dxfId="24" priority="5" stopIfTrue="1">
      <formula>#REF!="Fail"</formula>
    </cfRule>
  </conditionalFormatting>
  <conditionalFormatting sqref="B473:C493">
    <cfRule type="expression" dxfId="23" priority="2" stopIfTrue="1">
      <formula>#REF!="Fail"</formula>
    </cfRule>
  </conditionalFormatting>
  <conditionalFormatting sqref="D6:X26">
    <cfRule type="containsText" dxfId="22" priority="67" operator="containsText" text="PASS">
      <formula>NOT(ISERROR(SEARCH("PASS",D6)))</formula>
    </cfRule>
    <cfRule type="cellIs" dxfId="21" priority="68" operator="equal">
      <formula>"""PASS"""</formula>
    </cfRule>
  </conditionalFormatting>
  <conditionalFormatting sqref="E33:F53">
    <cfRule type="expression" dxfId="20" priority="64" stopIfTrue="1">
      <formula>#REF!="Fail"</formula>
    </cfRule>
  </conditionalFormatting>
  <conditionalFormatting sqref="E55:F75">
    <cfRule type="expression" dxfId="19" priority="58" stopIfTrue="1">
      <formula>#REF!="Fail"</formula>
    </cfRule>
  </conditionalFormatting>
  <conditionalFormatting sqref="E77:F97">
    <cfRule type="expression" dxfId="18" priority="55" stopIfTrue="1">
      <formula>#REF!="Fail"</formula>
    </cfRule>
  </conditionalFormatting>
  <conditionalFormatting sqref="E99:F119">
    <cfRule type="expression" dxfId="17" priority="52" stopIfTrue="1">
      <formula>#REF!="Fail"</formula>
    </cfRule>
  </conditionalFormatting>
  <conditionalFormatting sqref="E121:F141">
    <cfRule type="expression" dxfId="16" priority="49" stopIfTrue="1">
      <formula>#REF!="Fail"</formula>
    </cfRule>
  </conditionalFormatting>
  <conditionalFormatting sqref="E143:F163">
    <cfRule type="expression" dxfId="15" priority="46" stopIfTrue="1">
      <formula>#REF!="Fail"</formula>
    </cfRule>
  </conditionalFormatting>
  <conditionalFormatting sqref="E165:F185">
    <cfRule type="expression" dxfId="14" priority="43" stopIfTrue="1">
      <formula>#REF!="Fail"</formula>
    </cfRule>
  </conditionalFormatting>
  <conditionalFormatting sqref="E187:F207">
    <cfRule type="expression" dxfId="13" priority="40" stopIfTrue="1">
      <formula>#REF!="Fail"</formula>
    </cfRule>
  </conditionalFormatting>
  <conditionalFormatting sqref="E209:F229">
    <cfRule type="expression" dxfId="12" priority="37" stopIfTrue="1">
      <formula>#REF!="Fail"</formula>
    </cfRule>
  </conditionalFormatting>
  <conditionalFormatting sqref="E231:F251">
    <cfRule type="expression" dxfId="11" priority="34" stopIfTrue="1">
      <formula>#REF!="Fail"</formula>
    </cfRule>
  </conditionalFormatting>
  <conditionalFormatting sqref="E253:F273">
    <cfRule type="expression" dxfId="10" priority="31" stopIfTrue="1">
      <formula>#REF!="Fail"</formula>
    </cfRule>
  </conditionalFormatting>
  <conditionalFormatting sqref="E275:F295">
    <cfRule type="expression" dxfId="9" priority="28" stopIfTrue="1">
      <formula>#REF!="Fail"</formula>
    </cfRule>
  </conditionalFormatting>
  <conditionalFormatting sqref="E297:F317">
    <cfRule type="expression" dxfId="8" priority="25" stopIfTrue="1">
      <formula>#REF!="Fail"</formula>
    </cfRule>
  </conditionalFormatting>
  <conditionalFormatting sqref="E319:F339">
    <cfRule type="expression" dxfId="7" priority="22" stopIfTrue="1">
      <formula>#REF!="Fail"</formula>
    </cfRule>
  </conditionalFormatting>
  <conditionalFormatting sqref="E341:F361">
    <cfRule type="expression" dxfId="6" priority="19" stopIfTrue="1">
      <formula>#REF!="Fail"</formula>
    </cfRule>
  </conditionalFormatting>
  <conditionalFormatting sqref="E363:F383">
    <cfRule type="expression" dxfId="5" priority="16" stopIfTrue="1">
      <formula>#REF!="Fail"</formula>
    </cfRule>
  </conditionalFormatting>
  <conditionalFormatting sqref="E385:F405">
    <cfRule type="expression" dxfId="4" priority="13" stopIfTrue="1">
      <formula>#REF!="Fail"</formula>
    </cfRule>
  </conditionalFormatting>
  <conditionalFormatting sqref="E407:F427">
    <cfRule type="expression" dxfId="3" priority="10" stopIfTrue="1">
      <formula>#REF!="Fail"</formula>
    </cfRule>
  </conditionalFormatting>
  <conditionalFormatting sqref="E429:F449">
    <cfRule type="expression" dxfId="2" priority="7" stopIfTrue="1">
      <formula>#REF!="Fail"</formula>
    </cfRule>
  </conditionalFormatting>
  <conditionalFormatting sqref="E451:F471">
    <cfRule type="expression" dxfId="1" priority="4" stopIfTrue="1">
      <formula>#REF!="Fail"</formula>
    </cfRule>
  </conditionalFormatting>
  <conditionalFormatting sqref="E473:F493">
    <cfRule type="expression" dxfId="0" priority="1" stopIfTrue="1">
      <formula>#REF!="Fail"</formula>
    </cfRule>
  </conditionalFormatting>
  <pageMargins left="0.7" right="0.7" top="0.75" bottom="0.75" header="0.3" footer="0.3"/>
  <headerFooter>
    <oddHeader>&amp;R&amp;"Calibri"&amp;12&amp;K000000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4B9C-FCB2-40C6-A61A-73D3B99F7D34}">
  <dimension ref="B2:X43"/>
  <sheetViews>
    <sheetView tabSelected="1" workbookViewId="0">
      <selection activeCell="A24" sqref="A24"/>
    </sheetView>
  </sheetViews>
  <sheetFormatPr defaultColWidth="12" defaultRowHeight="14.45"/>
  <cols>
    <col min="1" max="3" width="12" style="45"/>
    <col min="4" max="4" width="12.140625" style="45" customWidth="1"/>
    <col min="5" max="7" width="15.5703125" style="45" customWidth="1"/>
    <col min="8" max="8" width="12" style="45"/>
    <col min="9" max="10" width="12.5703125" style="46" customWidth="1"/>
    <col min="11" max="11" width="25.5703125" style="46" customWidth="1"/>
    <col min="12" max="13" width="12.5703125" style="46" customWidth="1"/>
    <col min="14" max="16384" width="12" style="45"/>
  </cols>
  <sheetData>
    <row r="2" spans="2:24" ht="23.45">
      <c r="B2" s="44" t="s">
        <v>20</v>
      </c>
      <c r="J2" s="47"/>
      <c r="K2" s="45"/>
      <c r="P2" s="46"/>
      <c r="Q2" s="46"/>
      <c r="R2" s="46"/>
      <c r="S2" s="46"/>
      <c r="T2" s="46"/>
      <c r="X2" s="48"/>
    </row>
    <row r="3" spans="2:24" ht="15" customHeight="1">
      <c r="C3" s="44"/>
      <c r="J3" s="47"/>
      <c r="K3" s="45"/>
      <c r="P3" s="46"/>
      <c r="Q3" s="46"/>
      <c r="R3" s="46"/>
      <c r="S3" s="46"/>
      <c r="T3" s="46"/>
      <c r="X3" s="48"/>
    </row>
    <row r="4" spans="2:24" ht="15" customHeight="1" thickBot="1">
      <c r="B4" s="49" t="s">
        <v>21</v>
      </c>
      <c r="J4" s="43" t="s">
        <v>22</v>
      </c>
      <c r="K4" s="45"/>
      <c r="P4" s="46"/>
      <c r="Q4" s="46"/>
      <c r="R4" s="46"/>
      <c r="S4" s="46"/>
      <c r="T4" s="46"/>
      <c r="X4" s="48"/>
    </row>
    <row r="5" spans="2:24" ht="15" customHeight="1" thickBot="1">
      <c r="B5" s="49"/>
      <c r="K5" s="50" t="s">
        <v>23</v>
      </c>
      <c r="L5" s="51" t="s">
        <v>24</v>
      </c>
      <c r="M5" s="52" t="s">
        <v>25</v>
      </c>
      <c r="N5" s="53" t="s">
        <v>26</v>
      </c>
      <c r="P5" s="51" t="s">
        <v>27</v>
      </c>
      <c r="Q5" s="54" t="s">
        <v>28</v>
      </c>
      <c r="R5" s="54" t="s">
        <v>29</v>
      </c>
      <c r="S5" s="54" t="s">
        <v>30</v>
      </c>
      <c r="T5" s="55" t="s">
        <v>31</v>
      </c>
      <c r="V5" s="56" t="s">
        <v>32</v>
      </c>
      <c r="W5" s="57">
        <f>SUM(T6:T9)</f>
        <v>2.1052631578947367</v>
      </c>
      <c r="X5" s="42" t="s">
        <v>33</v>
      </c>
    </row>
    <row r="6" spans="2:24" ht="15" customHeight="1" thickBot="1">
      <c r="B6" s="49"/>
      <c r="D6" s="51" t="s">
        <v>34</v>
      </c>
      <c r="E6" s="55" t="s">
        <v>35</v>
      </c>
      <c r="F6" s="46"/>
      <c r="K6" s="58" t="s">
        <v>36</v>
      </c>
      <c r="L6" s="59">
        <v>20</v>
      </c>
      <c r="M6" s="60">
        <v>0</v>
      </c>
      <c r="N6" s="58">
        <f>SUM(L6:M6)</f>
        <v>20</v>
      </c>
      <c r="P6" s="59">
        <v>1</v>
      </c>
      <c r="Q6" s="61">
        <v>1</v>
      </c>
      <c r="R6" s="61">
        <f>L6</f>
        <v>20</v>
      </c>
      <c r="S6" s="61">
        <f>(N6*L8)/N8</f>
        <v>19</v>
      </c>
      <c r="T6" s="57">
        <f>(R6-S6)^2/S6</f>
        <v>5.2631578947368418E-2</v>
      </c>
      <c r="V6" s="62" t="s">
        <v>37</v>
      </c>
      <c r="W6" s="63">
        <v>1</v>
      </c>
      <c r="X6" s="48"/>
    </row>
    <row r="7" spans="2:24" ht="15" customHeight="1" thickBot="1">
      <c r="B7" s="49"/>
      <c r="C7" s="58" t="s">
        <v>38</v>
      </c>
      <c r="D7" s="64"/>
      <c r="E7" s="65"/>
      <c r="F7" s="46" t="s">
        <v>39</v>
      </c>
      <c r="K7" s="66" t="s">
        <v>40</v>
      </c>
      <c r="L7" s="67">
        <v>18</v>
      </c>
      <c r="M7" s="68">
        <v>2</v>
      </c>
      <c r="N7" s="66">
        <f>SUM(L7:M7)</f>
        <v>20</v>
      </c>
      <c r="P7" s="69">
        <v>1</v>
      </c>
      <c r="Q7" s="70">
        <v>2</v>
      </c>
      <c r="R7" s="70">
        <f>M6</f>
        <v>0</v>
      </c>
      <c r="S7" s="70">
        <f>(N6*M8)/N8</f>
        <v>1</v>
      </c>
      <c r="T7" s="63">
        <f>(R7-S7)^2/S7</f>
        <v>1</v>
      </c>
      <c r="V7" s="71" t="s">
        <v>41</v>
      </c>
      <c r="W7" s="72">
        <f>_xlfn.CHISQ.DIST.RT(W5,W6)</f>
        <v>0.14679308730857099</v>
      </c>
      <c r="X7" s="73" t="s">
        <v>42</v>
      </c>
    </row>
    <row r="8" spans="2:24" ht="15" customHeight="1" thickBot="1">
      <c r="B8" s="49"/>
      <c r="C8" s="74" t="s">
        <v>43</v>
      </c>
      <c r="D8" s="75"/>
      <c r="E8" s="76"/>
      <c r="F8" s="46" t="s">
        <v>44</v>
      </c>
      <c r="K8" s="77" t="s">
        <v>26</v>
      </c>
      <c r="L8" s="51">
        <f>SUM(L6:L7)</f>
        <v>38</v>
      </c>
      <c r="M8" s="52">
        <f>SUM(M6:M7)</f>
        <v>2</v>
      </c>
      <c r="N8" s="77">
        <f>SUM(L8:M8)</f>
        <v>40</v>
      </c>
      <c r="P8" s="69">
        <v>2</v>
      </c>
      <c r="Q8" s="70">
        <v>1</v>
      </c>
      <c r="R8" s="70">
        <f>L7</f>
        <v>18</v>
      </c>
      <c r="S8" s="70">
        <f>(N7*L8)/N8</f>
        <v>19</v>
      </c>
      <c r="T8" s="63">
        <f>(R8-S8)^2/S8</f>
        <v>5.2631578947368418E-2</v>
      </c>
      <c r="X8" s="48"/>
    </row>
    <row r="9" spans="2:24" ht="15" customHeight="1" thickBot="1">
      <c r="B9" s="49"/>
      <c r="C9" s="50"/>
      <c r="D9" s="46" t="s">
        <v>45</v>
      </c>
      <c r="E9" s="46" t="s">
        <v>46</v>
      </c>
      <c r="F9" s="46" t="s">
        <v>47</v>
      </c>
      <c r="K9" s="45"/>
      <c r="P9" s="78">
        <v>2</v>
      </c>
      <c r="Q9" s="79">
        <v>2</v>
      </c>
      <c r="R9" s="79">
        <f>M7</f>
        <v>2</v>
      </c>
      <c r="S9" s="79">
        <f>(N7*M8)/N8</f>
        <v>1</v>
      </c>
      <c r="T9" s="80">
        <f>(R9-S9)^2/S9</f>
        <v>1</v>
      </c>
      <c r="X9" s="48"/>
    </row>
    <row r="10" spans="2:24" ht="15" customHeight="1" thickBot="1">
      <c r="B10" s="49"/>
      <c r="K10" s="45"/>
      <c r="P10" s="46"/>
      <c r="Q10" s="46"/>
      <c r="R10" s="46"/>
      <c r="S10" s="46"/>
      <c r="T10" s="46"/>
      <c r="X10" s="48"/>
    </row>
    <row r="11" spans="2:24" ht="15" customHeight="1" thickBot="1">
      <c r="B11" s="49"/>
      <c r="C11" s="45" t="s">
        <v>48</v>
      </c>
      <c r="K11" s="50" t="s">
        <v>49</v>
      </c>
      <c r="L11" s="51" t="s">
        <v>24</v>
      </c>
      <c r="M11" s="52" t="s">
        <v>25</v>
      </c>
      <c r="N11" s="53" t="s">
        <v>26</v>
      </c>
      <c r="P11" s="51" t="s">
        <v>27</v>
      </c>
      <c r="Q11" s="54" t="s">
        <v>28</v>
      </c>
      <c r="R11" s="54" t="s">
        <v>29</v>
      </c>
      <c r="S11" s="54" t="s">
        <v>30</v>
      </c>
      <c r="T11" s="55" t="s">
        <v>31</v>
      </c>
      <c r="V11" s="56" t="s">
        <v>32</v>
      </c>
      <c r="W11" s="57">
        <f>SUM(T12:T15)</f>
        <v>2.1052631578947367</v>
      </c>
      <c r="X11" s="48"/>
    </row>
    <row r="12" spans="2:24" ht="15" customHeight="1">
      <c r="B12" s="49"/>
      <c r="K12" s="58" t="s">
        <v>36</v>
      </c>
      <c r="L12" s="59">
        <v>20</v>
      </c>
      <c r="M12" s="60">
        <v>0</v>
      </c>
      <c r="N12" s="58">
        <f>SUM(L12:M12)</f>
        <v>20</v>
      </c>
      <c r="P12" s="59">
        <v>1</v>
      </c>
      <c r="Q12" s="61">
        <v>1</v>
      </c>
      <c r="R12" s="61">
        <f>L12</f>
        <v>20</v>
      </c>
      <c r="S12" s="61">
        <f>(N12*L14)/N14</f>
        <v>19</v>
      </c>
      <c r="T12" s="57">
        <f>(R12-S12)^2/S12</f>
        <v>5.2631578947368418E-2</v>
      </c>
      <c r="V12" s="62" t="s">
        <v>37</v>
      </c>
      <c r="W12" s="63">
        <v>1</v>
      </c>
      <c r="X12" s="48"/>
    </row>
    <row r="13" spans="2:24" ht="15" customHeight="1" thickBot="1">
      <c r="B13" s="49"/>
      <c r="C13" s="48" t="s">
        <v>50</v>
      </c>
      <c r="D13" s="45" t="s">
        <v>51</v>
      </c>
      <c r="K13" s="66" t="s">
        <v>40</v>
      </c>
      <c r="L13" s="67">
        <v>18</v>
      </c>
      <c r="M13" s="68">
        <v>2</v>
      </c>
      <c r="N13" s="66">
        <f>SUM(L13:M13)</f>
        <v>20</v>
      </c>
      <c r="P13" s="69">
        <v>1</v>
      </c>
      <c r="Q13" s="70">
        <v>2</v>
      </c>
      <c r="R13" s="70">
        <f>M12</f>
        <v>0</v>
      </c>
      <c r="S13" s="70">
        <f>(N12*M14)/N14</f>
        <v>1</v>
      </c>
      <c r="T13" s="63">
        <f>(R13-S13)^2/S13</f>
        <v>1</v>
      </c>
      <c r="V13" s="71" t="s">
        <v>41</v>
      </c>
      <c r="W13" s="72">
        <f>_xlfn.CHISQ.DIST.RT(W11,W12)</f>
        <v>0.14679308730857099</v>
      </c>
      <c r="X13" s="73" t="s">
        <v>42</v>
      </c>
    </row>
    <row r="14" spans="2:24" ht="15" customHeight="1" thickBot="1">
      <c r="B14" s="49"/>
      <c r="C14" s="48" t="s">
        <v>52</v>
      </c>
      <c r="D14" s="45" t="s">
        <v>53</v>
      </c>
      <c r="K14" s="77" t="s">
        <v>26</v>
      </c>
      <c r="L14" s="51">
        <f>SUM(L12:L13)</f>
        <v>38</v>
      </c>
      <c r="M14" s="52">
        <f>SUM(M12:M13)</f>
        <v>2</v>
      </c>
      <c r="N14" s="77">
        <f>SUM(L14:M14)</f>
        <v>40</v>
      </c>
      <c r="P14" s="69">
        <v>2</v>
      </c>
      <c r="Q14" s="70">
        <v>1</v>
      </c>
      <c r="R14" s="70">
        <f>L13</f>
        <v>18</v>
      </c>
      <c r="S14" s="70">
        <f>(N13*L14)/N14</f>
        <v>19</v>
      </c>
      <c r="T14" s="63">
        <f>(R14-S14)^2/S14</f>
        <v>5.2631578947368418E-2</v>
      </c>
      <c r="X14" s="73"/>
    </row>
    <row r="15" spans="2:24" ht="15" customHeight="1" thickBot="1">
      <c r="B15" s="49"/>
      <c r="C15" s="48" t="s">
        <v>54</v>
      </c>
      <c r="D15" s="45" t="s">
        <v>55</v>
      </c>
      <c r="K15" s="45"/>
      <c r="P15" s="78">
        <v>2</v>
      </c>
      <c r="Q15" s="79">
        <v>2</v>
      </c>
      <c r="R15" s="79">
        <f>M13</f>
        <v>2</v>
      </c>
      <c r="S15" s="79">
        <f>(N13*M14)/N14</f>
        <v>1</v>
      </c>
      <c r="T15" s="80">
        <f>(R15-S15)^2/S15</f>
        <v>1</v>
      </c>
      <c r="X15" s="48"/>
    </row>
    <row r="16" spans="2:24" ht="15" customHeight="1">
      <c r="B16" s="49"/>
      <c r="C16" s="48" t="s">
        <v>56</v>
      </c>
      <c r="D16" s="45" t="s">
        <v>57</v>
      </c>
      <c r="K16" s="45"/>
      <c r="P16" s="46"/>
      <c r="Q16" s="46"/>
      <c r="R16" s="46"/>
      <c r="S16" s="46"/>
      <c r="T16" s="46"/>
      <c r="X16" s="48"/>
    </row>
    <row r="17" spans="2:24" ht="15" customHeight="1" thickBot="1">
      <c r="B17" s="49"/>
      <c r="C17" s="48" t="s">
        <v>58</v>
      </c>
      <c r="D17" s="45" t="s">
        <v>59</v>
      </c>
      <c r="J17" s="43" t="s">
        <v>60</v>
      </c>
      <c r="K17" s="45"/>
      <c r="P17" s="46"/>
      <c r="Q17" s="46"/>
      <c r="R17" s="46"/>
      <c r="S17" s="46"/>
      <c r="T17" s="46"/>
      <c r="X17" s="48"/>
    </row>
    <row r="18" spans="2:24" ht="14.25" customHeight="1" thickBot="1">
      <c r="K18" s="50" t="s">
        <v>23</v>
      </c>
      <c r="L18" s="51" t="s">
        <v>24</v>
      </c>
      <c r="M18" s="52" t="s">
        <v>25</v>
      </c>
      <c r="N18" s="53" t="s">
        <v>26</v>
      </c>
      <c r="P18" s="51" t="s">
        <v>27</v>
      </c>
      <c r="Q18" s="54" t="s">
        <v>28</v>
      </c>
      <c r="R18" s="54" t="s">
        <v>29</v>
      </c>
      <c r="S18" s="54" t="s">
        <v>30</v>
      </c>
      <c r="T18" s="55" t="s">
        <v>31</v>
      </c>
      <c r="V18" s="56" t="s">
        <v>32</v>
      </c>
      <c r="W18" s="57">
        <f>SUM(T19:T22)</f>
        <v>7.0588235294117645</v>
      </c>
      <c r="X18" s="48"/>
    </row>
    <row r="19" spans="2:24" s="50" customFormat="1">
      <c r="B19" s="50" t="s">
        <v>61</v>
      </c>
      <c r="J19" s="46"/>
      <c r="K19" s="58" t="s">
        <v>36</v>
      </c>
      <c r="L19" s="59">
        <v>20</v>
      </c>
      <c r="M19" s="60">
        <v>0</v>
      </c>
      <c r="N19" s="58">
        <f>SUM(L19:M19)</f>
        <v>20</v>
      </c>
      <c r="O19" s="45"/>
      <c r="P19" s="59">
        <v>1</v>
      </c>
      <c r="Q19" s="61">
        <v>1</v>
      </c>
      <c r="R19" s="61">
        <f>L19</f>
        <v>20</v>
      </c>
      <c r="S19" s="61">
        <f>(N19*L21)/N21</f>
        <v>17</v>
      </c>
      <c r="T19" s="57">
        <f>(R19-S19)^2/S19</f>
        <v>0.52941176470588236</v>
      </c>
      <c r="U19" s="45"/>
      <c r="V19" s="62" t="s">
        <v>37</v>
      </c>
      <c r="W19" s="63">
        <v>1</v>
      </c>
      <c r="X19" s="48"/>
    </row>
    <row r="20" spans="2:24" ht="15" thickBot="1">
      <c r="C20" s="45" t="s">
        <v>62</v>
      </c>
      <c r="K20" s="66" t="s">
        <v>40</v>
      </c>
      <c r="L20" s="67">
        <v>14</v>
      </c>
      <c r="M20" s="68">
        <v>6</v>
      </c>
      <c r="N20" s="66">
        <f>SUM(L20:M20)</f>
        <v>20</v>
      </c>
      <c r="P20" s="69">
        <v>1</v>
      </c>
      <c r="Q20" s="70">
        <v>2</v>
      </c>
      <c r="R20" s="70">
        <f>M19</f>
        <v>0</v>
      </c>
      <c r="S20" s="70">
        <f>(N19*M21)/N21</f>
        <v>3</v>
      </c>
      <c r="T20" s="63">
        <f>(R20-S20)^2/S20</f>
        <v>3</v>
      </c>
      <c r="V20" s="71" t="s">
        <v>41</v>
      </c>
      <c r="W20" s="72">
        <f>_xlfn.CHISQ.DIST.RT(W18,W19)</f>
        <v>7.8875779196730771E-3</v>
      </c>
      <c r="X20" s="73" t="s">
        <v>63</v>
      </c>
    </row>
    <row r="21" spans="2:24" ht="15" thickBot="1">
      <c r="K21" s="77" t="s">
        <v>26</v>
      </c>
      <c r="L21" s="51">
        <f>SUM(L19:L20)</f>
        <v>34</v>
      </c>
      <c r="M21" s="52">
        <f>SUM(M19:M20)</f>
        <v>6</v>
      </c>
      <c r="N21" s="77">
        <f>SUM(L21:M21)</f>
        <v>40</v>
      </c>
      <c r="P21" s="69">
        <v>2</v>
      </c>
      <c r="Q21" s="70">
        <v>1</v>
      </c>
      <c r="R21" s="70">
        <f>L20</f>
        <v>14</v>
      </c>
      <c r="S21" s="70">
        <f>(N20*L21)/N21</f>
        <v>17</v>
      </c>
      <c r="T21" s="63">
        <f>(R21-S21)^2/S21</f>
        <v>0.52941176470588236</v>
      </c>
      <c r="X21" s="48"/>
    </row>
    <row r="22" spans="2:24" ht="15" thickBot="1">
      <c r="B22" s="50" t="s">
        <v>64</v>
      </c>
      <c r="K22" s="45"/>
      <c r="P22" s="78">
        <v>2</v>
      </c>
      <c r="Q22" s="79">
        <v>2</v>
      </c>
      <c r="R22" s="79">
        <f>M20</f>
        <v>6</v>
      </c>
      <c r="S22" s="79">
        <f>(N20*M21)/N21</f>
        <v>3</v>
      </c>
      <c r="T22" s="80">
        <f>(R22-S22)^2/S22</f>
        <v>3</v>
      </c>
      <c r="X22" s="48"/>
    </row>
    <row r="23" spans="2:24" ht="15" thickBot="1">
      <c r="C23" s="45" t="s">
        <v>65</v>
      </c>
      <c r="K23" s="45"/>
      <c r="P23" s="46"/>
      <c r="Q23" s="46"/>
      <c r="R23" s="46"/>
      <c r="S23" s="46"/>
      <c r="T23" s="46"/>
      <c r="X23" s="48"/>
    </row>
    <row r="24" spans="2:24" ht="17.100000000000001" thickBot="1">
      <c r="K24" s="50" t="s">
        <v>49</v>
      </c>
      <c r="L24" s="51" t="s">
        <v>24</v>
      </c>
      <c r="M24" s="52" t="s">
        <v>25</v>
      </c>
      <c r="N24" s="53" t="s">
        <v>26</v>
      </c>
      <c r="P24" s="51" t="s">
        <v>27</v>
      </c>
      <c r="Q24" s="54" t="s">
        <v>28</v>
      </c>
      <c r="R24" s="54" t="s">
        <v>29</v>
      </c>
      <c r="S24" s="54" t="s">
        <v>30</v>
      </c>
      <c r="T24" s="55" t="s">
        <v>31</v>
      </c>
      <c r="V24" s="56" t="s">
        <v>32</v>
      </c>
      <c r="W24" s="57">
        <f>SUM(T25:T28)</f>
        <v>5.7142857142857144</v>
      </c>
      <c r="X24" s="48"/>
    </row>
    <row r="25" spans="2:24">
      <c r="K25" s="58" t="s">
        <v>36</v>
      </c>
      <c r="L25" s="59">
        <v>20</v>
      </c>
      <c r="M25" s="60">
        <v>0</v>
      </c>
      <c r="N25" s="58">
        <f>SUM(L25:M25)</f>
        <v>20</v>
      </c>
      <c r="P25" s="59">
        <v>1</v>
      </c>
      <c r="Q25" s="61">
        <v>1</v>
      </c>
      <c r="R25" s="61">
        <f>L25</f>
        <v>20</v>
      </c>
      <c r="S25" s="61">
        <f>(N25*L27)/N27</f>
        <v>17.5</v>
      </c>
      <c r="T25" s="57">
        <f>(R25-S25)^2/S25</f>
        <v>0.35714285714285715</v>
      </c>
      <c r="V25" s="62" t="s">
        <v>37</v>
      </c>
      <c r="W25" s="63">
        <v>1</v>
      </c>
      <c r="X25" s="48"/>
    </row>
    <row r="26" spans="2:24" ht="15" thickBot="1">
      <c r="K26" s="66" t="s">
        <v>40</v>
      </c>
      <c r="L26" s="67">
        <v>15</v>
      </c>
      <c r="M26" s="68">
        <v>5</v>
      </c>
      <c r="N26" s="66">
        <f>SUM(L26:M26)</f>
        <v>20</v>
      </c>
      <c r="P26" s="69">
        <v>1</v>
      </c>
      <c r="Q26" s="70">
        <v>2</v>
      </c>
      <c r="R26" s="70">
        <f>M25</f>
        <v>0</v>
      </c>
      <c r="S26" s="70">
        <f>(N25*M27)/N27</f>
        <v>2.5</v>
      </c>
      <c r="T26" s="63">
        <f>(R26-S26)^2/S26</f>
        <v>2.5</v>
      </c>
      <c r="V26" s="71" t="s">
        <v>41</v>
      </c>
      <c r="W26" s="72">
        <f>_xlfn.CHISQ.DIST.RT(W24,W25)</f>
        <v>1.6827409482756846E-2</v>
      </c>
      <c r="X26" s="73" t="s">
        <v>63</v>
      </c>
    </row>
    <row r="27" spans="2:24" ht="15" thickBot="1">
      <c r="K27" s="77" t="s">
        <v>26</v>
      </c>
      <c r="L27" s="51">
        <f>SUM(L25:L26)</f>
        <v>35</v>
      </c>
      <c r="M27" s="52">
        <f>SUM(M25:M26)</f>
        <v>5</v>
      </c>
      <c r="N27" s="77">
        <f>SUM(L27:M27)</f>
        <v>40</v>
      </c>
      <c r="P27" s="69">
        <v>2</v>
      </c>
      <c r="Q27" s="70">
        <v>1</v>
      </c>
      <c r="R27" s="70">
        <f>L26</f>
        <v>15</v>
      </c>
      <c r="S27" s="70">
        <f>(N26*L27)/N27</f>
        <v>17.5</v>
      </c>
      <c r="T27" s="63">
        <f>(R27-S27)^2/S27</f>
        <v>0.35714285714285715</v>
      </c>
      <c r="X27" s="48"/>
    </row>
    <row r="28" spans="2:24" ht="15" thickBot="1">
      <c r="K28" s="45"/>
      <c r="P28" s="78">
        <v>2</v>
      </c>
      <c r="Q28" s="79">
        <v>2</v>
      </c>
      <c r="R28" s="79">
        <f>M26</f>
        <v>5</v>
      </c>
      <c r="S28" s="79">
        <f>(N26*M27)/N27</f>
        <v>2.5</v>
      </c>
      <c r="T28" s="80">
        <f>(R28-S28)^2/S28</f>
        <v>2.5</v>
      </c>
      <c r="X28" s="48"/>
    </row>
    <row r="29" spans="2:24">
      <c r="K29" s="45"/>
      <c r="P29" s="46"/>
      <c r="Q29" s="46"/>
      <c r="R29" s="46"/>
      <c r="S29" s="46"/>
      <c r="T29" s="46"/>
      <c r="X29" s="48"/>
    </row>
    <row r="30" spans="2:24" ht="21.6" thickBot="1">
      <c r="C30" s="45" t="s">
        <v>48</v>
      </c>
      <c r="J30" s="43" t="s">
        <v>66</v>
      </c>
      <c r="K30" s="45"/>
      <c r="P30" s="46"/>
      <c r="Q30" s="46"/>
      <c r="R30" s="46"/>
      <c r="S30" s="46"/>
      <c r="T30" s="46"/>
      <c r="X30" s="48"/>
    </row>
    <row r="31" spans="2:24" ht="17.100000000000001" thickBot="1">
      <c r="K31" s="50" t="s">
        <v>67</v>
      </c>
      <c r="L31" s="51" t="s">
        <v>24</v>
      </c>
      <c r="M31" s="52" t="s">
        <v>25</v>
      </c>
      <c r="N31" s="53" t="s">
        <v>26</v>
      </c>
      <c r="P31" s="51" t="s">
        <v>27</v>
      </c>
      <c r="Q31" s="54" t="s">
        <v>28</v>
      </c>
      <c r="R31" s="54" t="s">
        <v>29</v>
      </c>
      <c r="S31" s="54" t="s">
        <v>30</v>
      </c>
      <c r="T31" s="55" t="s">
        <v>31</v>
      </c>
      <c r="V31" s="56" t="s">
        <v>32</v>
      </c>
      <c r="W31" s="57">
        <f>SUM(T32:T35)</f>
        <v>1.0256410256410255</v>
      </c>
      <c r="X31" s="48"/>
    </row>
    <row r="32" spans="2:24" ht="16.5">
      <c r="C32" s="45" t="s">
        <v>68</v>
      </c>
      <c r="D32" s="45" t="s">
        <v>69</v>
      </c>
      <c r="H32" s="81"/>
      <c r="K32" s="58" t="s">
        <v>36</v>
      </c>
      <c r="L32" s="59">
        <v>20</v>
      </c>
      <c r="M32" s="60">
        <v>0</v>
      </c>
      <c r="N32" s="58">
        <f>SUM(L32:M32)</f>
        <v>20</v>
      </c>
      <c r="P32" s="59">
        <v>1</v>
      </c>
      <c r="Q32" s="61">
        <v>1</v>
      </c>
      <c r="R32" s="61">
        <f>L32</f>
        <v>20</v>
      </c>
      <c r="S32" s="61">
        <f>(N32*L34)/N34</f>
        <v>19.5</v>
      </c>
      <c r="T32" s="57">
        <f>(R32-S32)^2/S32</f>
        <v>1.282051282051282E-2</v>
      </c>
      <c r="V32" s="62" t="s">
        <v>37</v>
      </c>
      <c r="W32" s="63">
        <v>1</v>
      </c>
      <c r="X32" s="48"/>
    </row>
    <row r="33" spans="2:24" ht="15" thickBot="1">
      <c r="C33" s="45" t="s">
        <v>70</v>
      </c>
      <c r="D33" s="45" t="s">
        <v>71</v>
      </c>
      <c r="K33" s="66" t="s">
        <v>40</v>
      </c>
      <c r="L33" s="67">
        <v>19</v>
      </c>
      <c r="M33" s="68">
        <v>1</v>
      </c>
      <c r="N33" s="66">
        <f>SUM(L33:M33)</f>
        <v>20</v>
      </c>
      <c r="P33" s="69">
        <v>1</v>
      </c>
      <c r="Q33" s="70">
        <v>2</v>
      </c>
      <c r="R33" s="70">
        <f>M32</f>
        <v>0</v>
      </c>
      <c r="S33" s="70">
        <f>(N32*M34)/N34</f>
        <v>0.5</v>
      </c>
      <c r="T33" s="63">
        <f>(R33-S33)^2/S33</f>
        <v>0.5</v>
      </c>
      <c r="V33" s="71" t="s">
        <v>41</v>
      </c>
      <c r="W33" s="72">
        <f>_xlfn.CHISQ.DIST.RT(W31,W32)</f>
        <v>0.31118466882261808</v>
      </c>
      <c r="X33" s="73" t="s">
        <v>42</v>
      </c>
    </row>
    <row r="34" spans="2:24" ht="15" thickBot="1">
      <c r="C34" s="45" t="s">
        <v>72</v>
      </c>
      <c r="D34" s="45" t="s">
        <v>73</v>
      </c>
      <c r="K34" s="77" t="s">
        <v>26</v>
      </c>
      <c r="L34" s="51">
        <f>SUM(L32:L33)</f>
        <v>39</v>
      </c>
      <c r="M34" s="52">
        <f>SUM(M32:M33)</f>
        <v>1</v>
      </c>
      <c r="N34" s="77">
        <f>SUM(L34:M34)</f>
        <v>40</v>
      </c>
      <c r="P34" s="69">
        <v>2</v>
      </c>
      <c r="Q34" s="70">
        <v>1</v>
      </c>
      <c r="R34" s="70">
        <f>L33</f>
        <v>19</v>
      </c>
      <c r="S34" s="70">
        <f>(N33*L34)/N34</f>
        <v>19.5</v>
      </c>
      <c r="T34" s="63">
        <f>(R34-S34)^2/S34</f>
        <v>1.282051282051282E-2</v>
      </c>
      <c r="X34" s="48"/>
    </row>
    <row r="35" spans="2:24" ht="15" thickBot="1">
      <c r="C35" s="45" t="s">
        <v>74</v>
      </c>
      <c r="D35" s="45" t="s">
        <v>75</v>
      </c>
      <c r="K35" s="45"/>
      <c r="P35" s="78">
        <v>2</v>
      </c>
      <c r="Q35" s="79">
        <v>2</v>
      </c>
      <c r="R35" s="79">
        <f>M33</f>
        <v>1</v>
      </c>
      <c r="S35" s="79">
        <f>(N33*M34)/N34</f>
        <v>0.5</v>
      </c>
      <c r="T35" s="80">
        <f>(R35-S35)^2/S35</f>
        <v>0.5</v>
      </c>
      <c r="X35" s="48"/>
    </row>
    <row r="36" spans="2:24" ht="15" thickBot="1">
      <c r="C36" s="45" t="s">
        <v>76</v>
      </c>
      <c r="D36" s="45" t="s">
        <v>77</v>
      </c>
      <c r="K36" s="45"/>
      <c r="P36" s="46"/>
      <c r="Q36" s="46"/>
      <c r="R36" s="46"/>
      <c r="S36" s="46"/>
      <c r="T36" s="46"/>
      <c r="X36" s="48"/>
    </row>
    <row r="37" spans="2:24" ht="17.100000000000001" thickBot="1">
      <c r="K37" s="50" t="s">
        <v>78</v>
      </c>
      <c r="L37" s="51" t="s">
        <v>24</v>
      </c>
      <c r="M37" s="52" t="s">
        <v>25</v>
      </c>
      <c r="N37" s="53" t="s">
        <v>26</v>
      </c>
      <c r="P37" s="51" t="s">
        <v>27</v>
      </c>
      <c r="Q37" s="54" t="s">
        <v>28</v>
      </c>
      <c r="R37" s="54" t="s">
        <v>29</v>
      </c>
      <c r="S37" s="54" t="s">
        <v>30</v>
      </c>
      <c r="T37" s="55" t="s">
        <v>31</v>
      </c>
      <c r="V37" s="56" t="s">
        <v>32</v>
      </c>
      <c r="W37" s="57">
        <f>SUM(T38:T41)</f>
        <v>1.0256410256410255</v>
      </c>
      <c r="X37" s="48"/>
    </row>
    <row r="38" spans="2:24">
      <c r="B38" s="50" t="s">
        <v>79</v>
      </c>
      <c r="K38" s="58" t="s">
        <v>36</v>
      </c>
      <c r="L38" s="59">
        <v>20</v>
      </c>
      <c r="M38" s="60">
        <v>0</v>
      </c>
      <c r="N38" s="58">
        <f>SUM(L38:M38)</f>
        <v>20</v>
      </c>
      <c r="P38" s="59">
        <v>1</v>
      </c>
      <c r="Q38" s="61">
        <v>1</v>
      </c>
      <c r="R38" s="61">
        <f>L38</f>
        <v>20</v>
      </c>
      <c r="S38" s="61">
        <f>(N38*L40)/N40</f>
        <v>19.5</v>
      </c>
      <c r="T38" s="57">
        <f>(R38-S38)^2/S38</f>
        <v>1.282051282051282E-2</v>
      </c>
      <c r="V38" s="62" t="s">
        <v>37</v>
      </c>
      <c r="W38" s="63">
        <v>1</v>
      </c>
      <c r="X38" s="48"/>
    </row>
    <row r="39" spans="2:24" ht="15" thickBot="1">
      <c r="C39" s="45" t="s">
        <v>80</v>
      </c>
      <c r="D39" s="45" t="s">
        <v>81</v>
      </c>
      <c r="K39" s="66" t="s">
        <v>40</v>
      </c>
      <c r="L39" s="67">
        <v>19</v>
      </c>
      <c r="M39" s="68">
        <v>1</v>
      </c>
      <c r="N39" s="66">
        <f>SUM(L39:M39)</f>
        <v>20</v>
      </c>
      <c r="P39" s="69">
        <v>1</v>
      </c>
      <c r="Q39" s="70">
        <v>2</v>
      </c>
      <c r="R39" s="70">
        <f>M38</f>
        <v>0</v>
      </c>
      <c r="S39" s="70">
        <f>(N38*M40)/N40</f>
        <v>0.5</v>
      </c>
      <c r="T39" s="63">
        <f>(R39-S39)^2/S39</f>
        <v>0.5</v>
      </c>
      <c r="V39" s="71" t="s">
        <v>41</v>
      </c>
      <c r="W39" s="72">
        <f>_xlfn.CHISQ.DIST.RT(W37,W38)</f>
        <v>0.31118466882261808</v>
      </c>
      <c r="X39" s="73" t="s">
        <v>42</v>
      </c>
    </row>
    <row r="40" spans="2:24" ht="15" thickBot="1">
      <c r="D40" s="45" t="s">
        <v>82</v>
      </c>
      <c r="K40" s="77" t="s">
        <v>26</v>
      </c>
      <c r="L40" s="51">
        <f>SUM(L38:L39)</f>
        <v>39</v>
      </c>
      <c r="M40" s="52">
        <f>SUM(M38:M39)</f>
        <v>1</v>
      </c>
      <c r="N40" s="77">
        <f>SUM(L40:M40)</f>
        <v>40</v>
      </c>
      <c r="P40" s="69">
        <v>2</v>
      </c>
      <c r="Q40" s="70">
        <v>1</v>
      </c>
      <c r="R40" s="70">
        <f>L39</f>
        <v>19</v>
      </c>
      <c r="S40" s="70">
        <f>(N39*L40)/N40</f>
        <v>19.5</v>
      </c>
      <c r="T40" s="63">
        <f>(R40-S40)^2/S40</f>
        <v>1.282051282051282E-2</v>
      </c>
      <c r="X40" s="48"/>
    </row>
    <row r="41" spans="2:24" ht="15" thickBot="1">
      <c r="K41" s="45"/>
      <c r="P41" s="78">
        <v>2</v>
      </c>
      <c r="Q41" s="79">
        <v>2</v>
      </c>
      <c r="R41" s="79">
        <f>M39</f>
        <v>1</v>
      </c>
      <c r="S41" s="79">
        <f>(N39*M40)/N40</f>
        <v>0.5</v>
      </c>
      <c r="T41" s="80">
        <f>(R41-S41)^2/S41</f>
        <v>0.5</v>
      </c>
      <c r="X41" s="48"/>
    </row>
    <row r="42" spans="2:24">
      <c r="B42" s="50" t="s">
        <v>83</v>
      </c>
    </row>
    <row r="43" spans="2:24" ht="16.5">
      <c r="C43" s="45" t="s">
        <v>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1859A-5A69-4356-ADD5-6991CA5265B4}"/>
</file>

<file path=customXml/itemProps2.xml><?xml version="1.0" encoding="utf-8"?>
<ds:datastoreItem xmlns:ds="http://schemas.openxmlformats.org/officeDocument/2006/customXml" ds:itemID="{2D8F1888-D7F4-49D0-B8CE-BAECBCAA7302}"/>
</file>

<file path=customXml/itemProps3.xml><?xml version="1.0" encoding="utf-8"?>
<ds:datastoreItem xmlns:ds="http://schemas.openxmlformats.org/officeDocument/2006/customXml" ds:itemID="{CAF193F3-BBFF-4768-AA7E-63B68F6BE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HC-PHAC - SC-ASPC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Plante</dc:creator>
  <cp:keywords/>
  <dc:description/>
  <cp:lastModifiedBy>Deschênes, Mylène (CFIA/ACIA)</cp:lastModifiedBy>
  <cp:revision/>
  <dcterms:created xsi:type="dcterms:W3CDTF">2023-04-19T17:30:51Z</dcterms:created>
  <dcterms:modified xsi:type="dcterms:W3CDTF">2025-09-22T17:00:19Z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2025-06-19T21:18:17Z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1e490b14-2c05-4935-8529-5ffabb0d3041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ContentTypeId">
    <vt:lpwstr>0x010100761589C1FC759D4AA60564C8F3842147</vt:lpwstr>
  </property>
  <property fmtid="{D5CDD505-2E9C-101B-9397-08002B2CF9AE}" pid="11" name="MediaServiceImageTags">
    <vt:lpwstr/>
  </property>
</Properties>
</file>