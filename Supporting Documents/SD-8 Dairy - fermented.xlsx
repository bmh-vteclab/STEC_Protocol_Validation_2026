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022gc-my.sharepoint.com/personal/alex_gill_hc-sc_gc_ca/Documents/Desktop/URGENT/STEC Method Files/Supporting Documents/"/>
    </mc:Choice>
  </mc:AlternateContent>
  <xr:revisionPtr revIDLastSave="2174" documentId="8_{4669D42E-6A1C-444B-B995-F089254FC335}" xr6:coauthVersionLast="47" xr6:coauthVersionMax="47" xr10:uidLastSave="{93C88773-FE18-4530-A99E-E9B5EDD4ED35}"/>
  <bookViews>
    <workbookView xWindow="-4050" yWindow="-18120" windowWidth="29040" windowHeight="17520" xr2:uid="{F53D3DDD-931A-45A2-9DCD-4A747DEFB0A4}"/>
  </bookViews>
  <sheets>
    <sheet name="Run #1" sheetId="1" r:id="rId1"/>
    <sheet name="Run #2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9" i="3" l="1"/>
  <c r="E78" i="3"/>
  <c r="E78" i="1"/>
  <c r="J59" i="3"/>
  <c r="J58" i="3"/>
  <c r="K58" i="3" s="1"/>
  <c r="J57" i="3"/>
  <c r="O48" i="3"/>
  <c r="N48" i="3"/>
  <c r="M48" i="3"/>
  <c r="L48" i="3"/>
  <c r="O47" i="3"/>
  <c r="N47" i="3"/>
  <c r="N49" i="3" s="1"/>
  <c r="M47" i="3"/>
  <c r="L47" i="3"/>
  <c r="O41" i="3"/>
  <c r="N41" i="3"/>
  <c r="M41" i="3"/>
  <c r="L41" i="3"/>
  <c r="O40" i="3"/>
  <c r="O42" i="3" s="1"/>
  <c r="N40" i="3"/>
  <c r="M40" i="3"/>
  <c r="L40" i="3"/>
  <c r="AJ33" i="3"/>
  <c r="AI33" i="3"/>
  <c r="AH33" i="3"/>
  <c r="AG33" i="3"/>
  <c r="AJ32" i="3"/>
  <c r="AI32" i="3"/>
  <c r="AH32" i="3"/>
  <c r="AG32" i="3"/>
  <c r="AJ13" i="3"/>
  <c r="AH13" i="3"/>
  <c r="AJ12" i="3"/>
  <c r="AH12" i="3"/>
  <c r="AI32" i="1"/>
  <c r="AH33" i="1"/>
  <c r="AH32" i="1"/>
  <c r="AG33" i="1"/>
  <c r="AG32" i="1"/>
  <c r="L49" i="3" l="1"/>
  <c r="M42" i="3"/>
  <c r="O49" i="3"/>
  <c r="M49" i="3"/>
  <c r="R47" i="3" s="1"/>
  <c r="R49" i="3" s="1"/>
  <c r="L42" i="3"/>
  <c r="R43" i="3" s="1"/>
  <c r="N42" i="3"/>
  <c r="R40" i="3" s="1"/>
  <c r="R42" i="3" s="1"/>
  <c r="K59" i="3"/>
  <c r="R50" i="3"/>
  <c r="R46" i="3"/>
  <c r="R48" i="3" s="1"/>
  <c r="E89" i="1"/>
  <c r="E45" i="1"/>
  <c r="E44" i="1" s="1"/>
  <c r="J59" i="1"/>
  <c r="J58" i="1"/>
  <c r="J57" i="1"/>
  <c r="O48" i="1"/>
  <c r="N48" i="1"/>
  <c r="M48" i="1"/>
  <c r="L48" i="1"/>
  <c r="O47" i="1"/>
  <c r="N47" i="1"/>
  <c r="M47" i="1"/>
  <c r="L47" i="1"/>
  <c r="O41" i="1"/>
  <c r="N41" i="1"/>
  <c r="M41" i="1"/>
  <c r="L41" i="1"/>
  <c r="O40" i="1"/>
  <c r="N40" i="1"/>
  <c r="M40" i="1"/>
  <c r="L40" i="1"/>
  <c r="AJ33" i="1"/>
  <c r="AI33" i="1"/>
  <c r="AJ32" i="1"/>
  <c r="AJ13" i="1"/>
  <c r="AH13" i="1"/>
  <c r="AJ12" i="1"/>
  <c r="AH12" i="1"/>
  <c r="R39" i="3" l="1"/>
  <c r="R41" i="3" s="1"/>
  <c r="E46" i="1"/>
  <c r="K58" i="1"/>
  <c r="N42" i="1"/>
  <c r="L42" i="1"/>
  <c r="L49" i="1"/>
  <c r="M42" i="1"/>
  <c r="R40" i="1" s="1"/>
  <c r="R42" i="1" s="1"/>
  <c r="N49" i="1"/>
  <c r="K59" i="1"/>
  <c r="O42" i="1"/>
  <c r="M49" i="1"/>
  <c r="O49" i="1"/>
  <c r="R46" i="1" l="1"/>
  <c r="R48" i="1" s="1"/>
  <c r="R43" i="1"/>
  <c r="R47" i="1"/>
  <c r="R49" i="1" s="1"/>
  <c r="R39" i="1"/>
  <c r="R41" i="1" s="1"/>
  <c r="R50" i="1"/>
</calcChain>
</file>

<file path=xl/sharedStrings.xml><?xml version="1.0" encoding="utf-8"?>
<sst xmlns="http://schemas.openxmlformats.org/spreadsheetml/2006/main" count="1717" uniqueCount="229">
  <si>
    <t>Status :</t>
  </si>
  <si>
    <t>Category :</t>
  </si>
  <si>
    <t>Dairy</t>
  </si>
  <si>
    <t>Results summary</t>
  </si>
  <si>
    <t>Broth screening qPCR results</t>
  </si>
  <si>
    <t>Pool screening results</t>
  </si>
  <si>
    <t>Colony screening result - VT</t>
  </si>
  <si>
    <t>CF qPCR result</t>
  </si>
  <si>
    <t>VITEK</t>
  </si>
  <si>
    <t>Type :</t>
  </si>
  <si>
    <t>Fermented</t>
  </si>
  <si>
    <t xml:space="preserve">Food items : </t>
  </si>
  <si>
    <t>Liberté Classique raspberry yogurt 2.9% M.F.; Saugeen Country organic kefir 4.1% M.F.</t>
  </si>
  <si>
    <t>Incub. Time :</t>
  </si>
  <si>
    <t>24 hr</t>
  </si>
  <si>
    <t>Run #1</t>
  </si>
  <si>
    <t>Run #2</t>
  </si>
  <si>
    <t>vt qPCR</t>
  </si>
  <si>
    <t>Confirmation of neg. Samples</t>
  </si>
  <si>
    <t>Sample Status</t>
  </si>
  <si>
    <t>SGIL</t>
  </si>
  <si>
    <t>Instagene (1)</t>
  </si>
  <si>
    <t>PureGene (2)</t>
  </si>
  <si>
    <t>Pool #1 - Rainbow</t>
  </si>
  <si>
    <t>Pool #2 - Rainbow</t>
  </si>
  <si>
    <t>Pool #3 - Rainbow</t>
  </si>
  <si>
    <t>Pool #4 Rainbow</t>
  </si>
  <si>
    <t>Pool #5 - Rainbow</t>
  </si>
  <si>
    <t>Pool #6 Rainbow</t>
  </si>
  <si>
    <t>Pool</t>
  </si>
  <si>
    <t>Colony 1</t>
  </si>
  <si>
    <t>Colony 2</t>
  </si>
  <si>
    <t>Colony 3</t>
  </si>
  <si>
    <t>Colony 4</t>
  </si>
  <si>
    <t>Colony 5</t>
  </si>
  <si>
    <t>Colony 6</t>
  </si>
  <si>
    <t>Colony 7</t>
  </si>
  <si>
    <t>Colony 8</t>
  </si>
  <si>
    <t>Colony 9</t>
  </si>
  <si>
    <t>Colony 10</t>
  </si>
  <si>
    <t>Colony</t>
  </si>
  <si>
    <t>CF qPCR</t>
  </si>
  <si>
    <t>Identification</t>
  </si>
  <si>
    <t>Sample Details</t>
  </si>
  <si>
    <t>Matrix</t>
  </si>
  <si>
    <t>Level</t>
  </si>
  <si>
    <t>Broth - Insta</t>
  </si>
  <si>
    <t>Broth - Pgene</t>
  </si>
  <si>
    <t>Pools</t>
  </si>
  <si>
    <t>Colonies</t>
  </si>
  <si>
    <t>Method result</t>
  </si>
  <si>
    <t>Rainb. plate sweep</t>
  </si>
  <si>
    <t xml:space="preserve">MAC-T investig. </t>
  </si>
  <si>
    <t>Broth screening</t>
  </si>
  <si>
    <t>Isolation</t>
  </si>
  <si>
    <t>FAM</t>
  </si>
  <si>
    <t>HEX</t>
  </si>
  <si>
    <t>Date of spiking</t>
  </si>
  <si>
    <t>2024-02144</t>
  </si>
  <si>
    <t>Yogurt</t>
  </si>
  <si>
    <t>Negative</t>
  </si>
  <si>
    <t>-</t>
  </si>
  <si>
    <t>n/a</t>
  </si>
  <si>
    <t>TN</t>
  </si>
  <si>
    <t>No amp.</t>
  </si>
  <si>
    <t>Mean Ct - Unspiked</t>
  </si>
  <si>
    <t>Analysis start date</t>
  </si>
  <si>
    <t>2024-02145</t>
  </si>
  <si>
    <t>Instagene</t>
  </si>
  <si>
    <t>PureGene</t>
  </si>
  <si>
    <t>Sample Size</t>
  </si>
  <si>
    <t>25 g</t>
  </si>
  <si>
    <t>2024-02146</t>
  </si>
  <si>
    <t>Yogurt background microflora concentration</t>
  </si>
  <si>
    <t>7.0E+07 CFU/g</t>
  </si>
  <si>
    <t>2024-02147</t>
  </si>
  <si>
    <t>Kefir</t>
  </si>
  <si>
    <t>Kefir background microflora concentration</t>
  </si>
  <si>
    <t>2.9E+04 CFU/g</t>
  </si>
  <si>
    <t>2024-02148</t>
  </si>
  <si>
    <t>Method used to determine sample background microflora</t>
  </si>
  <si>
    <t>MFHPB-18 : PCA,  35°C, 48h</t>
  </si>
  <si>
    <t>2024-02149</t>
  </si>
  <si>
    <t>+</t>
  </si>
  <si>
    <t>E. coli</t>
  </si>
  <si>
    <t>Positive</t>
  </si>
  <si>
    <t>TP</t>
  </si>
  <si>
    <t>Escherichia coli</t>
  </si>
  <si>
    <t>2024-02150</t>
  </si>
  <si>
    <t>Inoculum Details</t>
  </si>
  <si>
    <t>2024-02151</t>
  </si>
  <si>
    <t>Strain ID</t>
  </si>
  <si>
    <t>BMH-19-0006 (vtx2d)</t>
  </si>
  <si>
    <t>2024-02152</t>
  </si>
  <si>
    <t>Strain source (time of isolation, source commodity, geographic region of origin)</t>
  </si>
  <si>
    <t>Raw milk cheese</t>
  </si>
  <si>
    <t>2024-02153</t>
  </si>
  <si>
    <t>Concentration of inoculum, volume used to spike:</t>
  </si>
  <si>
    <t>Target = 1 CFU/100 µl; Actual = 0.9 CFU/100 µL</t>
  </si>
  <si>
    <t>2024-02154</t>
  </si>
  <si>
    <t>Method used to determine spiking concentration:</t>
  </si>
  <si>
    <t>Plating onto TSA, 20 replicates, 35 °C, 18-24 h</t>
  </si>
  <si>
    <t>2024-02155</t>
  </si>
  <si>
    <t>Equilibration conditions:</t>
  </si>
  <si>
    <t>2-8 °C, 3 days</t>
  </si>
  <si>
    <t>2024-02156</t>
  </si>
  <si>
    <t>2024-02157</t>
  </si>
  <si>
    <t>Was the inoculum stressed?</t>
  </si>
  <si>
    <t>No</t>
  </si>
  <si>
    <t>2024-02158</t>
  </si>
  <si>
    <t>Stressing Conditions:</t>
  </si>
  <si>
    <t>2024-02159</t>
  </si>
  <si>
    <t>Stress level:</t>
  </si>
  <si>
    <t>2024-02160</t>
  </si>
  <si>
    <t>How was the stress level determined?
(Please include counts and agar choices)</t>
  </si>
  <si>
    <t>2024-02161</t>
  </si>
  <si>
    <t>2024-02162</t>
  </si>
  <si>
    <t>Was a Co-Inoculum Used?</t>
  </si>
  <si>
    <t>2024-02163</t>
  </si>
  <si>
    <t>Strain ID of co-inoculum:</t>
  </si>
  <si>
    <t>2024-02164</t>
  </si>
  <si>
    <t>Mean Ct - Low level</t>
  </si>
  <si>
    <t>Strain source</t>
  </si>
  <si>
    <t>2024-02165</t>
  </si>
  <si>
    <t>Where all spiked samples co-inoculated?</t>
  </si>
  <si>
    <t>2024-02166</t>
  </si>
  <si>
    <t>2024-02167</t>
  </si>
  <si>
    <t>Stressing conditions (if applicable):</t>
  </si>
  <si>
    <t>2024-02168</t>
  </si>
  <si>
    <t>Stress level (if applicable):</t>
  </si>
  <si>
    <t>CP</t>
  </si>
  <si>
    <t>How was the stress level determined?
(Please include counts and agar choices)
(if applicable)</t>
  </si>
  <si>
    <t>CN</t>
  </si>
  <si>
    <t>CS</t>
  </si>
  <si>
    <t>NTC</t>
  </si>
  <si>
    <t>PREPARATION OF INOCULUM</t>
  </si>
  <si>
    <t>Raw data file : 20240912_104204_CT036336_VT et CF.pcrd</t>
  </si>
  <si>
    <t>Raw data file : 20240912_124513_CT036336_VT et CF.pcrd</t>
  </si>
  <si>
    <t>Raw data file : 20240916_110342_CT036336_VT et CF.pcrd</t>
  </si>
  <si>
    <r>
      <t xml:space="preserve">VTEC </t>
    </r>
    <r>
      <rPr>
        <b/>
        <i/>
        <sz val="11"/>
        <color theme="1"/>
        <rFont val="Calibri"/>
        <family val="2"/>
      </rPr>
      <t>E. coli</t>
    </r>
    <r>
      <rPr>
        <b/>
        <sz val="11"/>
        <color theme="1"/>
        <rFont val="Calibri"/>
        <family val="2"/>
      </rPr>
      <t xml:space="preserve"> BMH-19-0006</t>
    </r>
  </si>
  <si>
    <t>Raw data file : 20240911_152129_CT036336_VT et CF.pcrd</t>
  </si>
  <si>
    <t>Note 1 : no colonies grew on MAC-T; all pools from Rainbow</t>
  </si>
  <si>
    <t>Plating (TSA) :</t>
  </si>
  <si>
    <t>Screening</t>
  </si>
  <si>
    <t>FP</t>
  </si>
  <si>
    <t>FN</t>
  </si>
  <si>
    <t>Sensitivity</t>
  </si>
  <si>
    <r>
      <t xml:space="preserve">Note 2 : no colony grew on plates from broth-negative samples, except 2024-02154 (a few very small white colonies, none typical of </t>
    </r>
    <r>
      <rPr>
        <i/>
        <sz val="11"/>
        <color theme="1"/>
        <rFont val="Calibri"/>
        <family val="2"/>
      </rPr>
      <t xml:space="preserve">E. coli, </t>
    </r>
    <r>
      <rPr>
        <sz val="11"/>
        <color theme="1"/>
        <rFont val="Calibri"/>
        <family val="2"/>
      </rPr>
      <t>all negative upon PCR testing)</t>
    </r>
  </si>
  <si>
    <t xml:space="preserve">Reading : </t>
  </si>
  <si>
    <t>Unspiked</t>
  </si>
  <si>
    <t>Specificity</t>
  </si>
  <si>
    <t xml:space="preserve">Volume / plate : </t>
  </si>
  <si>
    <t>100 µL</t>
  </si>
  <si>
    <t>Spiked</t>
  </si>
  <si>
    <t>FN rate</t>
  </si>
  <si>
    <t>FP rate</t>
  </si>
  <si>
    <t>Dilution</t>
  </si>
  <si>
    <t>Rep 1</t>
  </si>
  <si>
    <t>Rep 2</t>
  </si>
  <si>
    <t>CFU/mL</t>
  </si>
  <si>
    <t>Agreement</t>
  </si>
  <si>
    <t>&gt; 300</t>
  </si>
  <si>
    <t xml:space="preserve">  &gt;&gt; 1.7 mL + 8.3 mL H2Op = 1 CFU/100 µL</t>
  </si>
  <si>
    <t>Dilution in bold used for calculations</t>
  </si>
  <si>
    <t>VERIFICATION OF FINAL INOCULUM</t>
  </si>
  <si>
    <t>20240912_124513_CT036336_VT et CF</t>
  </si>
  <si>
    <t>20240916_110342_CT036336_VT et CF</t>
  </si>
  <si>
    <t>CFU/plate</t>
  </si>
  <si>
    <t>20240911_152129_CT036336_VT et CF</t>
  </si>
  <si>
    <t>20240912_104204_CT036336_VT et CF</t>
  </si>
  <si>
    <t xml:space="preserve">Mean : </t>
  </si>
  <si>
    <t xml:space="preserve">   &lt;&lt; Actual spiking level (target)</t>
  </si>
  <si>
    <t xml:space="preserve">POS : </t>
  </si>
  <si>
    <t xml:space="preserve">NEG : </t>
  </si>
  <si>
    <t>BACKGROUND MICROFLORA (MFHPB-18)</t>
  </si>
  <si>
    <t>Liberté Classique Strawberry yogurt</t>
  </si>
  <si>
    <t>Plating (PCA) :</t>
  </si>
  <si>
    <t>1 mL</t>
  </si>
  <si>
    <t>CFU/g</t>
  </si>
  <si>
    <t>TNTC</t>
  </si>
  <si>
    <t>Saugeen Country Organic Kefir</t>
  </si>
  <si>
    <t>18 hr</t>
  </si>
  <si>
    <t>2024-02449</t>
  </si>
  <si>
    <t>2024-02450</t>
  </si>
  <si>
    <t>2024-02451</t>
  </si>
  <si>
    <t>2.3E+08 CFU/g</t>
  </si>
  <si>
    <t>2024-02452</t>
  </si>
  <si>
    <t>1.1E+04 CFU/g</t>
  </si>
  <si>
    <t>2024-02453</t>
  </si>
  <si>
    <t>2024-02454</t>
  </si>
  <si>
    <t>2024-02455</t>
  </si>
  <si>
    <t>2024-02456</t>
  </si>
  <si>
    <t>2024-02457</t>
  </si>
  <si>
    <t>2024-02458</t>
  </si>
  <si>
    <t>Target = 10 CFU/100 µl; Actual = 9.9 CFU/100 µL</t>
  </si>
  <si>
    <t>2024-02459</t>
  </si>
  <si>
    <t>2024-02460</t>
  </si>
  <si>
    <t>2024-02461</t>
  </si>
  <si>
    <t>2024-02462</t>
  </si>
  <si>
    <t>2024-02463</t>
  </si>
  <si>
    <t>2024-02464</t>
  </si>
  <si>
    <t>2024-02465</t>
  </si>
  <si>
    <t>2024-02466</t>
  </si>
  <si>
    <t>2024-02467</t>
  </si>
  <si>
    <t>2024-02468</t>
  </si>
  <si>
    <t>2024-02469</t>
  </si>
  <si>
    <t>Mean Ct - High level</t>
  </si>
  <si>
    <t>2024-02470</t>
  </si>
  <si>
    <t>2024-02471</t>
  </si>
  <si>
    <t>2024-02472</t>
  </si>
  <si>
    <t>2024-02473</t>
  </si>
  <si>
    <t>Blank</t>
  </si>
  <si>
    <t>Raw data file : 20240925_113631_CT036336_VT et CF.pcrd</t>
  </si>
  <si>
    <t>Raw data file : 20240926_110604_CT036336_VT et CF.pcrd</t>
  </si>
  <si>
    <t>Raw data file : 20240926_143848_CT036336_VT et CF.pcrd</t>
  </si>
  <si>
    <t>Raw data file : 20240924_122311_CT036336_VT et CF.pcrd</t>
  </si>
  <si>
    <t>Note 2 : no colony grew on plates from broth-negative samples</t>
  </si>
  <si>
    <t>Note 3 : only few colonies on Rainbow for yogurt samples compared to the samples from kefir where a considerable number of colonies were observed</t>
  </si>
  <si>
    <t xml:space="preserve">  &gt;&gt; 1.6 mL + 8.4 mL H2Op = 10 CFU/100 µL</t>
  </si>
  <si>
    <t>20240926_143848_CT036336_VT et CF</t>
  </si>
  <si>
    <t>20240924_122311_CT036336_VT et CF</t>
  </si>
  <si>
    <t>20240925_113631_CT036336_VT et CF</t>
  </si>
  <si>
    <t>20240926_110604_CT036336_VT et CF</t>
  </si>
  <si>
    <t>Liberté Classique Strawberry yogurt (new container)</t>
  </si>
  <si>
    <t>Saugeen Country Organic Kefir (same container as previous run, re-plated)</t>
  </si>
  <si>
    <t>Kefir = same container as previous run</t>
  </si>
  <si>
    <t>0.9 CFU/25 g</t>
  </si>
  <si>
    <t>9.9 CFU/25 g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</si>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</sst>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###0.00;\-###0.00"/>
    <numFmt numFmtId="166" formatCode="###0.0;\-###0.0"/>
    <numFmt numFmtId="167" formatCode="0.0E+00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rgb="FFC00000"/>
      <name val="Calibri"/>
      <family val="2"/>
    </font>
    <font>
      <b/>
      <sz val="11"/>
      <color theme="6" tint="-0.499984740745262"/>
      <name val="Calibri"/>
      <family val="2"/>
    </font>
    <font>
      <b/>
      <i/>
      <sz val="11"/>
      <color theme="1"/>
      <name val="Calibri"/>
      <family val="2"/>
    </font>
    <font>
      <b/>
      <sz val="16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sz val="8"/>
      <name val="Aptos Narrow"/>
      <family val="2"/>
      <scheme val="minor"/>
    </font>
    <font>
      <i/>
      <sz val="11"/>
      <color theme="1"/>
      <name val="Calibri"/>
      <family val="2"/>
    </font>
    <font>
      <i/>
      <sz val="11"/>
      <name val="Calibri"/>
      <family val="2"/>
    </font>
    <font>
      <sz val="16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9E7F7"/>
        <bgColor indexed="64"/>
      </patternFill>
    </fill>
    <fill>
      <patternFill patternType="solid">
        <fgColor rgb="FFF7E1F5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2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3" fillId="5" borderId="25" xfId="0" applyFont="1" applyFill="1" applyBorder="1" applyAlignment="1">
      <alignment horizontal="center" vertical="center"/>
    </xf>
    <xf numFmtId="0" fontId="3" fillId="5" borderId="26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32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4" fontId="5" fillId="0" borderId="9" xfId="0" applyNumberFormat="1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left" vertical="center"/>
    </xf>
    <xf numFmtId="0" fontId="3" fillId="0" borderId="41" xfId="0" applyFont="1" applyBorder="1" applyAlignment="1">
      <alignment horizontal="left" vertical="center"/>
    </xf>
    <xf numFmtId="0" fontId="5" fillId="0" borderId="38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164" fontId="5" fillId="0" borderId="40" xfId="0" applyNumberFormat="1" applyFont="1" applyBorder="1" applyAlignment="1">
      <alignment horizontal="center" vertical="center"/>
    </xf>
    <xf numFmtId="164" fontId="3" fillId="0" borderId="40" xfId="0" applyNumberFormat="1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47" xfId="0" applyFont="1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5" fillId="0" borderId="25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164" fontId="5" fillId="0" borderId="27" xfId="0" applyNumberFormat="1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164" fontId="3" fillId="0" borderId="27" xfId="0" applyNumberFormat="1" applyFont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64" fontId="5" fillId="0" borderId="38" xfId="0" applyNumberFormat="1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3" fillId="0" borderId="48" xfId="0" applyFont="1" applyBorder="1" applyAlignment="1">
      <alignment horizontal="left" vertical="center"/>
    </xf>
    <xf numFmtId="0" fontId="3" fillId="0" borderId="30" xfId="0" applyFont="1" applyBorder="1" applyAlignment="1">
      <alignment horizontal="left" vertical="center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164" fontId="5" fillId="0" borderId="22" xfId="0" applyNumberFormat="1" applyFont="1" applyBorder="1" applyAlignment="1">
      <alignment horizontal="center" vertical="center"/>
    </xf>
    <xf numFmtId="164" fontId="5" fillId="0" borderId="23" xfId="0" applyNumberFormat="1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0" xfId="0" quotePrefix="1" applyFont="1" applyAlignment="1">
      <alignment vertical="center"/>
    </xf>
    <xf numFmtId="0" fontId="4" fillId="0" borderId="0" xfId="0" applyFont="1" applyAlignment="1">
      <alignment horizontal="left" vertical="center"/>
    </xf>
    <xf numFmtId="164" fontId="5" fillId="0" borderId="46" xfId="0" quotePrefix="1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5" fillId="0" borderId="45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0" xfId="0" quotePrefix="1" applyFont="1" applyAlignment="1">
      <alignment horizontal="right" vertical="center"/>
    </xf>
    <xf numFmtId="0" fontId="5" fillId="0" borderId="3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5" fillId="0" borderId="50" xfId="0" applyFont="1" applyBorder="1" applyAlignment="1">
      <alignment horizontal="center" vertical="center"/>
    </xf>
    <xf numFmtId="14" fontId="3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9" fontId="3" fillId="0" borderId="9" xfId="1" applyFont="1" applyBorder="1" applyAlignment="1">
      <alignment horizontal="right" vertical="center"/>
    </xf>
    <xf numFmtId="0" fontId="5" fillId="0" borderId="0" xfId="0" applyFont="1" applyAlignment="1" applyProtection="1">
      <alignment horizontal="center" vertical="center" wrapText="1"/>
      <protection locked="0"/>
    </xf>
    <xf numFmtId="0" fontId="3" fillId="0" borderId="13" xfId="0" applyFont="1" applyBorder="1" applyAlignment="1">
      <alignment vertical="center"/>
    </xf>
    <xf numFmtId="0" fontId="3" fillId="0" borderId="32" xfId="0" applyFont="1" applyBorder="1" applyAlignment="1">
      <alignment horizontal="center" vertical="center"/>
    </xf>
    <xf numFmtId="0" fontId="3" fillId="0" borderId="38" xfId="0" applyFont="1" applyBorder="1" applyAlignment="1">
      <alignment vertical="center"/>
    </xf>
    <xf numFmtId="9" fontId="3" fillId="0" borderId="40" xfId="1" applyFont="1" applyBorder="1" applyAlignment="1">
      <alignment horizontal="right" vertical="center"/>
    </xf>
    <xf numFmtId="0" fontId="3" fillId="0" borderId="0" xfId="0" applyFont="1" applyAlignment="1">
      <alignment horizontal="left" vertical="top" wrapText="1"/>
    </xf>
    <xf numFmtId="165" fontId="2" fillId="0" borderId="0" xfId="0" applyNumberFormat="1" applyFont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0" fontId="3" fillId="0" borderId="31" xfId="0" applyFont="1" applyBorder="1" applyAlignment="1">
      <alignment vertical="center"/>
    </xf>
    <xf numFmtId="0" fontId="3" fillId="0" borderId="47" xfId="0" applyFont="1" applyBorder="1" applyAlignment="1">
      <alignment horizontal="center" vertical="center"/>
    </xf>
    <xf numFmtId="0" fontId="3" fillId="0" borderId="0" xfId="0" applyFont="1" applyAlignment="1">
      <alignment vertical="top" wrapText="1"/>
    </xf>
    <xf numFmtId="49" fontId="5" fillId="0" borderId="0" xfId="0" applyNumberFormat="1" applyFont="1" applyAlignment="1" applyProtection="1">
      <alignment horizontal="center" vertical="center"/>
      <protection locked="0"/>
    </xf>
    <xf numFmtId="9" fontId="3" fillId="0" borderId="40" xfId="1" quotePrefix="1" applyFont="1" applyBorder="1" applyAlignment="1">
      <alignment horizontal="right" vertical="center"/>
    </xf>
    <xf numFmtId="0" fontId="4" fillId="6" borderId="6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3" fillId="0" borderId="25" xfId="0" applyFont="1" applyBorder="1" applyAlignment="1">
      <alignment vertical="center"/>
    </xf>
    <xf numFmtId="9" fontId="3" fillId="0" borderId="27" xfId="1" applyFont="1" applyBorder="1" applyAlignment="1">
      <alignment horizontal="right" vertical="center"/>
    </xf>
    <xf numFmtId="167" fontId="3" fillId="0" borderId="13" xfId="0" quotePrefix="1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right" vertical="center"/>
    </xf>
    <xf numFmtId="0" fontId="3" fillId="0" borderId="11" xfId="0" applyFont="1" applyBorder="1" applyAlignment="1">
      <alignment horizontal="right" vertical="center"/>
    </xf>
    <xf numFmtId="1" fontId="3" fillId="0" borderId="44" xfId="0" applyNumberFormat="1" applyFont="1" applyBorder="1" applyAlignment="1">
      <alignment vertical="center"/>
    </xf>
    <xf numFmtId="167" fontId="3" fillId="0" borderId="31" xfId="0" applyNumberFormat="1" applyFont="1" applyBorder="1" applyAlignment="1">
      <alignment horizontal="center" vertical="center"/>
    </xf>
    <xf numFmtId="0" fontId="3" fillId="0" borderId="28" xfId="0" applyFont="1" applyBorder="1" applyAlignment="1">
      <alignment horizontal="right" vertical="center"/>
    </xf>
    <xf numFmtId="0" fontId="3" fillId="0" borderId="26" xfId="0" applyFont="1" applyBorder="1" applyAlignment="1">
      <alignment horizontal="right" vertical="center"/>
    </xf>
    <xf numFmtId="1" fontId="3" fillId="0" borderId="31" xfId="0" applyNumberFormat="1" applyFont="1" applyBorder="1" applyAlignment="1">
      <alignment vertical="center"/>
    </xf>
    <xf numFmtId="49" fontId="2" fillId="0" borderId="0" xfId="0" applyNumberFormat="1" applyFont="1" applyAlignment="1">
      <alignment horizontal="center" vertical="center"/>
    </xf>
    <xf numFmtId="167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167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0" fontId="3" fillId="0" borderId="32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164" fontId="3" fillId="0" borderId="0" xfId="0" applyNumberFormat="1" applyFont="1" applyAlignment="1">
      <alignment horizontal="right" vertical="center"/>
    </xf>
    <xf numFmtId="14" fontId="3" fillId="0" borderId="0" xfId="0" applyNumberFormat="1" applyFont="1" applyAlignment="1">
      <alignment horizontal="right" vertical="center"/>
    </xf>
    <xf numFmtId="0" fontId="3" fillId="0" borderId="39" xfId="0" applyFont="1" applyBorder="1" applyAlignment="1">
      <alignment vertical="center"/>
    </xf>
    <xf numFmtId="0" fontId="3" fillId="0" borderId="40" xfId="0" applyFont="1" applyBorder="1" applyAlignment="1">
      <alignment vertical="center"/>
    </xf>
    <xf numFmtId="9" fontId="3" fillId="0" borderId="0" xfId="1" applyFont="1" applyFill="1" applyAlignment="1">
      <alignment horizontal="right" vertical="center"/>
    </xf>
    <xf numFmtId="0" fontId="3" fillId="0" borderId="47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63" xfId="0" applyFont="1" applyFill="1" applyBorder="1" applyAlignment="1">
      <alignment horizontal="center" vertical="center"/>
    </xf>
    <xf numFmtId="0" fontId="4" fillId="6" borderId="64" xfId="0" applyFont="1" applyFill="1" applyBorder="1" applyAlignment="1">
      <alignment horizontal="center" vertical="center"/>
    </xf>
    <xf numFmtId="167" fontId="3" fillId="0" borderId="7" xfId="0" quotePrefix="1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right" vertical="center"/>
    </xf>
    <xf numFmtId="0" fontId="3" fillId="0" borderId="9" xfId="0" applyFont="1" applyBorder="1" applyAlignment="1">
      <alignment horizontal="right" vertical="center"/>
    </xf>
    <xf numFmtId="0" fontId="3" fillId="0" borderId="20" xfId="0" applyFont="1" applyBorder="1" applyAlignment="1">
      <alignment vertical="center"/>
    </xf>
    <xf numFmtId="167" fontId="3" fillId="0" borderId="45" xfId="0" applyNumberFormat="1" applyFont="1" applyBorder="1" applyAlignment="1">
      <alignment horizontal="center" vertical="center"/>
    </xf>
    <xf numFmtId="0" fontId="3" fillId="0" borderId="38" xfId="0" applyFont="1" applyBorder="1" applyAlignment="1">
      <alignment horizontal="right" vertical="center"/>
    </xf>
    <xf numFmtId="0" fontId="3" fillId="0" borderId="40" xfId="0" applyFont="1" applyBorder="1" applyAlignment="1">
      <alignment horizontal="right" vertical="center"/>
    </xf>
    <xf numFmtId="0" fontId="3" fillId="0" borderId="43" xfId="0" applyFont="1" applyBorder="1" applyAlignment="1">
      <alignment vertical="center"/>
    </xf>
    <xf numFmtId="1" fontId="3" fillId="0" borderId="43" xfId="0" applyNumberFormat="1" applyFont="1" applyBorder="1" applyAlignment="1">
      <alignment vertical="center"/>
    </xf>
    <xf numFmtId="167" fontId="3" fillId="0" borderId="45" xfId="0" quotePrefix="1" applyNumberFormat="1" applyFont="1" applyBorder="1" applyAlignment="1">
      <alignment horizontal="center" vertical="center"/>
    </xf>
    <xf numFmtId="167" fontId="3" fillId="0" borderId="43" xfId="0" applyNumberFormat="1" applyFont="1" applyBorder="1" applyAlignment="1">
      <alignment vertical="center"/>
    </xf>
    <xf numFmtId="11" fontId="3" fillId="0" borderId="0" xfId="0" applyNumberFormat="1" applyFont="1" applyAlignment="1">
      <alignment vertical="center"/>
    </xf>
    <xf numFmtId="167" fontId="3" fillId="0" borderId="50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right" vertical="center"/>
    </xf>
    <xf numFmtId="0" fontId="3" fillId="0" borderId="27" xfId="0" applyFont="1" applyBorder="1" applyAlignment="1">
      <alignment horizontal="right" vertical="center"/>
    </xf>
    <xf numFmtId="1" fontId="3" fillId="0" borderId="49" xfId="0" applyNumberFormat="1" applyFont="1" applyBorder="1" applyAlignment="1">
      <alignment vertical="center"/>
    </xf>
    <xf numFmtId="167" fontId="3" fillId="0" borderId="44" xfId="0" applyNumberFormat="1" applyFont="1" applyBorder="1" applyAlignment="1">
      <alignment horizontal="center" vertical="center"/>
    </xf>
    <xf numFmtId="0" fontId="3" fillId="0" borderId="44" xfId="0" applyFont="1" applyBorder="1" applyAlignment="1">
      <alignment vertical="center"/>
    </xf>
    <xf numFmtId="167" fontId="3" fillId="0" borderId="44" xfId="0" quotePrefix="1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5" fillId="0" borderId="20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164" fontId="3" fillId="0" borderId="38" xfId="0" applyNumberFormat="1" applyFont="1" applyBorder="1" applyAlignment="1">
      <alignment horizontal="center" vertical="center"/>
    </xf>
    <xf numFmtId="164" fontId="3" fillId="0" borderId="25" xfId="0" applyNumberFormat="1" applyFont="1" applyBorder="1" applyAlignment="1">
      <alignment horizontal="center" vertical="center"/>
    </xf>
    <xf numFmtId="164" fontId="3" fillId="0" borderId="36" xfId="0" applyNumberFormat="1" applyFont="1" applyBorder="1" applyAlignment="1">
      <alignment horizontal="center" vertical="center"/>
    </xf>
    <xf numFmtId="166" fontId="5" fillId="0" borderId="54" xfId="0" applyNumberFormat="1" applyFont="1" applyBorder="1" applyAlignment="1">
      <alignment horizontal="center" vertical="center"/>
    </xf>
    <xf numFmtId="164" fontId="3" fillId="0" borderId="35" xfId="0" applyNumberFormat="1" applyFont="1" applyBorder="1" applyAlignment="1">
      <alignment horizontal="center" vertical="center"/>
    </xf>
    <xf numFmtId="166" fontId="5" fillId="0" borderId="59" xfId="0" applyNumberFormat="1" applyFont="1" applyBorder="1" applyAlignment="1">
      <alignment horizontal="center" vertical="center"/>
    </xf>
    <xf numFmtId="166" fontId="5" fillId="0" borderId="27" xfId="0" applyNumberFormat="1" applyFont="1" applyBorder="1" applyAlignment="1">
      <alignment horizontal="center" vertical="center"/>
    </xf>
    <xf numFmtId="165" fontId="5" fillId="0" borderId="53" xfId="0" applyNumberFormat="1" applyFont="1" applyBorder="1" applyAlignment="1">
      <alignment horizontal="center" vertical="center"/>
    </xf>
    <xf numFmtId="165" fontId="5" fillId="0" borderId="57" xfId="0" applyNumberFormat="1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1" fontId="3" fillId="0" borderId="42" xfId="0" applyNumberFormat="1" applyFont="1" applyBorder="1" applyAlignment="1">
      <alignment horizontal="center" vertical="center"/>
    </xf>
    <xf numFmtId="1" fontId="3" fillId="0" borderId="40" xfId="0" applyNumberFormat="1" applyFont="1" applyBorder="1" applyAlignment="1">
      <alignment horizontal="center" vertical="center"/>
    </xf>
    <xf numFmtId="164" fontId="3" fillId="0" borderId="42" xfId="0" applyNumberFormat="1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164" fontId="3" fillId="0" borderId="28" xfId="0" applyNumberFormat="1" applyFont="1" applyBorder="1" applyAlignment="1">
      <alignment horizontal="center" vertical="center"/>
    </xf>
    <xf numFmtId="1" fontId="3" fillId="0" borderId="37" xfId="0" applyNumberFormat="1" applyFont="1" applyBorder="1" applyAlignment="1">
      <alignment horizontal="center" vertical="center"/>
    </xf>
    <xf numFmtId="1" fontId="3" fillId="0" borderId="36" xfId="0" applyNumberFormat="1" applyFont="1" applyBorder="1" applyAlignment="1">
      <alignment horizontal="center" vertical="center"/>
    </xf>
    <xf numFmtId="164" fontId="3" fillId="0" borderId="37" xfId="0" applyNumberFormat="1" applyFont="1" applyBorder="1" applyAlignment="1">
      <alignment horizontal="center" vertical="center"/>
    </xf>
    <xf numFmtId="11" fontId="3" fillId="0" borderId="43" xfId="0" applyNumberFormat="1" applyFont="1" applyBorder="1" applyAlignment="1">
      <alignment vertical="center"/>
    </xf>
    <xf numFmtId="11" fontId="3" fillId="0" borderId="31" xfId="0" applyNumberFormat="1" applyFont="1" applyBorder="1" applyAlignment="1">
      <alignment vertical="center"/>
    </xf>
    <xf numFmtId="167" fontId="4" fillId="0" borderId="44" xfId="0" applyNumberFormat="1" applyFont="1" applyBorder="1" applyAlignment="1">
      <alignment horizontal="center" vertical="center"/>
    </xf>
    <xf numFmtId="0" fontId="4" fillId="0" borderId="42" xfId="0" applyFont="1" applyBorder="1" applyAlignment="1">
      <alignment horizontal="right" vertical="center"/>
    </xf>
    <xf numFmtId="0" fontId="4" fillId="0" borderId="41" xfId="0" applyFont="1" applyBorder="1" applyAlignment="1">
      <alignment horizontal="right" vertical="center"/>
    </xf>
    <xf numFmtId="1" fontId="4" fillId="0" borderId="44" xfId="0" applyNumberFormat="1" applyFont="1" applyBorder="1" applyAlignment="1">
      <alignment vertical="center"/>
    </xf>
    <xf numFmtId="164" fontId="3" fillId="8" borderId="8" xfId="0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vertical="center"/>
    </xf>
    <xf numFmtId="164" fontId="3" fillId="8" borderId="11" xfId="0" applyNumberFormat="1" applyFont="1" applyFill="1" applyBorder="1" applyAlignment="1">
      <alignment horizontal="center" vertical="center"/>
    </xf>
    <xf numFmtId="165" fontId="5" fillId="8" borderId="9" xfId="0" applyNumberFormat="1" applyFont="1" applyFill="1" applyBorder="1" applyAlignment="1">
      <alignment horizontal="center" vertical="center"/>
    </xf>
    <xf numFmtId="164" fontId="3" fillId="8" borderId="38" xfId="0" applyNumberFormat="1" applyFont="1" applyFill="1" applyBorder="1" applyAlignment="1">
      <alignment horizontal="center" vertical="center"/>
    </xf>
    <xf numFmtId="164" fontId="3" fillId="8" borderId="40" xfId="0" applyNumberFormat="1" applyFont="1" applyFill="1" applyBorder="1" applyAlignment="1">
      <alignment horizontal="center" vertical="center"/>
    </xf>
    <xf numFmtId="164" fontId="3" fillId="8" borderId="41" xfId="0" applyNumberFormat="1" applyFont="1" applyFill="1" applyBorder="1" applyAlignment="1">
      <alignment horizontal="center" vertical="center"/>
    </xf>
    <xf numFmtId="166" fontId="5" fillId="8" borderId="40" xfId="0" applyNumberFormat="1" applyFont="1" applyFill="1" applyBorder="1" applyAlignment="1">
      <alignment horizontal="center" vertical="center"/>
    </xf>
    <xf numFmtId="164" fontId="3" fillId="8" borderId="25" xfId="0" applyNumberFormat="1" applyFont="1" applyFill="1" applyBorder="1" applyAlignment="1">
      <alignment horizontal="center" vertical="center"/>
    </xf>
    <xf numFmtId="164" fontId="3" fillId="8" borderId="27" xfId="0" applyNumberFormat="1" applyFont="1" applyFill="1" applyBorder="1" applyAlignment="1">
      <alignment horizontal="center" vertical="center"/>
    </xf>
    <xf numFmtId="164" fontId="3" fillId="8" borderId="26" xfId="0" applyNumberFormat="1" applyFont="1" applyFill="1" applyBorder="1" applyAlignment="1">
      <alignment horizontal="center" vertical="center"/>
    </xf>
    <xf numFmtId="166" fontId="5" fillId="8" borderId="54" xfId="0" applyNumberFormat="1" applyFont="1" applyFill="1" applyBorder="1" applyAlignment="1">
      <alignment horizontal="center" vertical="center"/>
    </xf>
    <xf numFmtId="166" fontId="3" fillId="8" borderId="27" xfId="0" applyNumberFormat="1" applyFont="1" applyFill="1" applyBorder="1" applyAlignment="1">
      <alignment horizontal="center" vertical="center"/>
    </xf>
    <xf numFmtId="164" fontId="3" fillId="8" borderId="22" xfId="0" applyNumberFormat="1" applyFont="1" applyFill="1" applyBorder="1" applyAlignment="1">
      <alignment horizontal="center" vertical="center"/>
    </xf>
    <xf numFmtId="164" fontId="3" fillId="8" borderId="23" xfId="0" applyNumberFormat="1" applyFont="1" applyFill="1" applyBorder="1" applyAlignment="1">
      <alignment horizontal="center" vertical="center"/>
    </xf>
    <xf numFmtId="166" fontId="5" fillId="8" borderId="59" xfId="0" applyNumberFormat="1" applyFont="1" applyFill="1" applyBorder="1" applyAlignment="1">
      <alignment horizontal="center" vertical="center"/>
    </xf>
    <xf numFmtId="164" fontId="5" fillId="4" borderId="8" xfId="0" applyNumberFormat="1" applyFont="1" applyFill="1" applyBorder="1" applyAlignment="1">
      <alignment horizontal="center" vertical="center"/>
    </xf>
    <xf numFmtId="164" fontId="3" fillId="4" borderId="38" xfId="0" applyNumberFormat="1" applyFont="1" applyFill="1" applyBorder="1" applyAlignment="1">
      <alignment horizontal="center" vertical="center"/>
    </xf>
    <xf numFmtId="164" fontId="3" fillId="4" borderId="33" xfId="0" applyNumberFormat="1" applyFont="1" applyFill="1" applyBorder="1" applyAlignment="1">
      <alignment horizontal="center" vertical="center"/>
    </xf>
    <xf numFmtId="164" fontId="5" fillId="4" borderId="25" xfId="0" applyNumberFormat="1" applyFont="1" applyFill="1" applyBorder="1" applyAlignment="1">
      <alignment horizontal="center" vertical="center"/>
    </xf>
    <xf numFmtId="167" fontId="3" fillId="0" borderId="44" xfId="0" applyNumberFormat="1" applyFont="1" applyBorder="1" applyAlignment="1">
      <alignment vertical="center"/>
    </xf>
    <xf numFmtId="164" fontId="5" fillId="2" borderId="8" xfId="0" applyNumberFormat="1" applyFont="1" applyFill="1" applyBorder="1" applyAlignment="1">
      <alignment horizontal="center" vertical="center"/>
    </xf>
    <xf numFmtId="164" fontId="5" fillId="2" borderId="38" xfId="0" applyNumberFormat="1" applyFont="1" applyFill="1" applyBorder="1" applyAlignment="1">
      <alignment horizontal="center" vertical="center"/>
    </xf>
    <xf numFmtId="164" fontId="5" fillId="2" borderId="25" xfId="0" applyNumberFormat="1" applyFont="1" applyFill="1" applyBorder="1" applyAlignment="1">
      <alignment horizontal="center" vertical="center"/>
    </xf>
    <xf numFmtId="164" fontId="5" fillId="2" borderId="47" xfId="0" applyNumberFormat="1" applyFont="1" applyFill="1" applyBorder="1" applyAlignment="1">
      <alignment horizontal="center" vertical="center"/>
    </xf>
    <xf numFmtId="0" fontId="3" fillId="8" borderId="37" xfId="0" applyFont="1" applyFill="1" applyBorder="1" applyAlignment="1">
      <alignment horizontal="center" vertical="center"/>
    </xf>
    <xf numFmtId="0" fontId="3" fillId="8" borderId="35" xfId="0" applyFont="1" applyFill="1" applyBorder="1" applyAlignment="1">
      <alignment horizontal="center" vertical="center"/>
    </xf>
    <xf numFmtId="0" fontId="3" fillId="8" borderId="33" xfId="0" applyFont="1" applyFill="1" applyBorder="1" applyAlignment="1">
      <alignment horizontal="center" vertical="center"/>
    </xf>
    <xf numFmtId="0" fontId="3" fillId="8" borderId="36" xfId="0" applyFont="1" applyFill="1" applyBorder="1" applyAlignment="1">
      <alignment horizontal="center" vertical="center"/>
    </xf>
    <xf numFmtId="0" fontId="3" fillId="8" borderId="42" xfId="0" applyFont="1" applyFill="1" applyBorder="1" applyAlignment="1">
      <alignment horizontal="center" vertical="center"/>
    </xf>
    <xf numFmtId="0" fontId="3" fillId="8" borderId="41" xfId="0" applyFont="1" applyFill="1" applyBorder="1" applyAlignment="1">
      <alignment horizontal="center" vertical="center"/>
    </xf>
    <xf numFmtId="0" fontId="3" fillId="8" borderId="38" xfId="0" applyFont="1" applyFill="1" applyBorder="1" applyAlignment="1">
      <alignment horizontal="center" vertical="center"/>
    </xf>
    <xf numFmtId="0" fontId="3" fillId="8" borderId="40" xfId="0" applyFont="1" applyFill="1" applyBorder="1" applyAlignment="1">
      <alignment horizontal="center" vertical="center"/>
    </xf>
    <xf numFmtId="0" fontId="3" fillId="8" borderId="29" xfId="0" applyFont="1" applyFill="1" applyBorder="1" applyAlignment="1">
      <alignment horizontal="center" vertical="center"/>
    </xf>
    <xf numFmtId="0" fontId="3" fillId="8" borderId="30" xfId="0" applyFont="1" applyFill="1" applyBorder="1" applyAlignment="1">
      <alignment horizontal="center" vertical="center"/>
    </xf>
    <xf numFmtId="0" fontId="3" fillId="8" borderId="22" xfId="0" applyFont="1" applyFill="1" applyBorder="1" applyAlignment="1">
      <alignment horizontal="center" vertical="center"/>
    </xf>
    <xf numFmtId="0" fontId="3" fillId="8" borderId="23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vertical="center"/>
    </xf>
    <xf numFmtId="0" fontId="3" fillId="8" borderId="9" xfId="0" applyFont="1" applyFill="1" applyBorder="1" applyAlignment="1">
      <alignment vertical="center"/>
    </xf>
    <xf numFmtId="0" fontId="3" fillId="8" borderId="38" xfId="0" applyFont="1" applyFill="1" applyBorder="1" applyAlignment="1">
      <alignment vertical="center"/>
    </xf>
    <xf numFmtId="0" fontId="3" fillId="8" borderId="40" xfId="0" applyFont="1" applyFill="1" applyBorder="1" applyAlignment="1">
      <alignment vertical="center"/>
    </xf>
    <xf numFmtId="0" fontId="3" fillId="8" borderId="25" xfId="0" applyFont="1" applyFill="1" applyBorder="1" applyAlignment="1">
      <alignment vertical="center"/>
    </xf>
    <xf numFmtId="0" fontId="3" fillId="8" borderId="27" xfId="0" applyFont="1" applyFill="1" applyBorder="1" applyAlignment="1">
      <alignment vertical="center"/>
    </xf>
    <xf numFmtId="164" fontId="5" fillId="8" borderId="33" xfId="0" applyNumberFormat="1" applyFont="1" applyFill="1" applyBorder="1" applyAlignment="1">
      <alignment horizontal="center" vertical="center"/>
    </xf>
    <xf numFmtId="164" fontId="3" fillId="8" borderId="36" xfId="0" applyNumberFormat="1" applyFont="1" applyFill="1" applyBorder="1" applyAlignment="1">
      <alignment horizontal="center" vertical="center"/>
    </xf>
    <xf numFmtId="164" fontId="5" fillId="8" borderId="8" xfId="0" applyNumberFormat="1" applyFont="1" applyFill="1" applyBorder="1" applyAlignment="1">
      <alignment horizontal="center" vertical="center"/>
    </xf>
    <xf numFmtId="164" fontId="5" fillId="8" borderId="25" xfId="0" applyNumberFormat="1" applyFont="1" applyFill="1" applyBorder="1" applyAlignment="1">
      <alignment horizontal="center" vertical="center"/>
    </xf>
    <xf numFmtId="164" fontId="5" fillId="8" borderId="27" xfId="0" applyNumberFormat="1" applyFont="1" applyFill="1" applyBorder="1" applyAlignment="1">
      <alignment horizontal="center" vertical="center"/>
    </xf>
    <xf numFmtId="166" fontId="5" fillId="0" borderId="60" xfId="0" applyNumberFormat="1" applyFont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3" fillId="8" borderId="28" xfId="0" applyFont="1" applyFill="1" applyBorder="1" applyAlignment="1">
      <alignment horizontal="center" vertical="center"/>
    </xf>
    <xf numFmtId="0" fontId="3" fillId="8" borderId="27" xfId="0" applyFont="1" applyFill="1" applyBorder="1" applyAlignment="1">
      <alignment horizontal="center" vertical="center"/>
    </xf>
    <xf numFmtId="166" fontId="5" fillId="8" borderId="53" xfId="0" applyNumberFormat="1" applyFont="1" applyFill="1" applyBorder="1" applyAlignment="1">
      <alignment horizontal="center" vertical="center"/>
    </xf>
    <xf numFmtId="166" fontId="5" fillId="8" borderId="57" xfId="0" applyNumberFormat="1" applyFont="1" applyFill="1" applyBorder="1" applyAlignment="1">
      <alignment horizontal="center" vertical="center"/>
    </xf>
    <xf numFmtId="166" fontId="5" fillId="8" borderId="58" xfId="0" applyNumberFormat="1" applyFont="1" applyFill="1" applyBorder="1" applyAlignment="1">
      <alignment horizontal="center" vertical="center"/>
    </xf>
    <xf numFmtId="164" fontId="3" fillId="8" borderId="38" xfId="0" applyNumberFormat="1" applyFont="1" applyFill="1" applyBorder="1" applyAlignment="1">
      <alignment vertical="center"/>
    </xf>
    <xf numFmtId="164" fontId="3" fillId="8" borderId="40" xfId="0" applyNumberFormat="1" applyFont="1" applyFill="1" applyBorder="1" applyAlignment="1">
      <alignment vertical="center"/>
    </xf>
    <xf numFmtId="164" fontId="5" fillId="8" borderId="40" xfId="0" applyNumberFormat="1" applyFont="1" applyFill="1" applyBorder="1" applyAlignment="1">
      <alignment horizontal="center" vertical="center"/>
    </xf>
    <xf numFmtId="1" fontId="3" fillId="8" borderId="42" xfId="0" applyNumberFormat="1" applyFont="1" applyFill="1" applyBorder="1" applyAlignment="1">
      <alignment horizontal="center" vertical="center"/>
    </xf>
    <xf numFmtId="1" fontId="3" fillId="8" borderId="40" xfId="0" applyNumberFormat="1" applyFont="1" applyFill="1" applyBorder="1" applyAlignment="1">
      <alignment horizontal="center" vertical="center"/>
    </xf>
    <xf numFmtId="164" fontId="3" fillId="8" borderId="42" xfId="0" applyNumberFormat="1" applyFont="1" applyFill="1" applyBorder="1" applyAlignment="1">
      <alignment horizontal="center" vertical="center"/>
    </xf>
    <xf numFmtId="1" fontId="3" fillId="8" borderId="28" xfId="0" applyNumberFormat="1" applyFont="1" applyFill="1" applyBorder="1" applyAlignment="1">
      <alignment horizontal="center" vertical="center"/>
    </xf>
    <xf numFmtId="1" fontId="3" fillId="8" borderId="27" xfId="0" applyNumberFormat="1" applyFont="1" applyFill="1" applyBorder="1" applyAlignment="1">
      <alignment horizontal="center" vertical="center"/>
    </xf>
    <xf numFmtId="164" fontId="3" fillId="8" borderId="28" xfId="0" applyNumberFormat="1" applyFont="1" applyFill="1" applyBorder="1" applyAlignment="1">
      <alignment horizontal="center" vertical="center"/>
    </xf>
    <xf numFmtId="166" fontId="3" fillId="8" borderId="42" xfId="0" applyNumberFormat="1" applyFont="1" applyFill="1" applyBorder="1" applyAlignment="1">
      <alignment horizontal="center" vertical="center"/>
    </xf>
    <xf numFmtId="1" fontId="5" fillId="8" borderId="60" xfId="0" applyNumberFormat="1" applyFont="1" applyFill="1" applyBorder="1" applyAlignment="1">
      <alignment horizontal="center" vertical="center"/>
    </xf>
    <xf numFmtId="164" fontId="5" fillId="8" borderId="60" xfId="0" applyNumberFormat="1" applyFont="1" applyFill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167" fontId="4" fillId="0" borderId="45" xfId="0" applyNumberFormat="1" applyFont="1" applyBorder="1" applyAlignment="1">
      <alignment horizontal="center" vertical="center"/>
    </xf>
    <xf numFmtId="0" fontId="4" fillId="0" borderId="38" xfId="0" applyFont="1" applyBorder="1" applyAlignment="1">
      <alignment horizontal="right" vertical="center"/>
    </xf>
    <xf numFmtId="0" fontId="4" fillId="0" borderId="40" xfId="0" applyFont="1" applyBorder="1" applyAlignment="1">
      <alignment horizontal="right" vertical="center"/>
    </xf>
    <xf numFmtId="1" fontId="5" fillId="0" borderId="28" xfId="0" applyNumberFormat="1" applyFont="1" applyBorder="1" applyAlignment="1">
      <alignment horizontal="center" vertical="center"/>
    </xf>
    <xf numFmtId="1" fontId="5" fillId="0" borderId="60" xfId="0" applyNumberFormat="1" applyFont="1" applyBorder="1" applyAlignment="1">
      <alignment horizontal="center" vertical="center"/>
    </xf>
    <xf numFmtId="164" fontId="5" fillId="0" borderId="28" xfId="0" applyNumberFormat="1" applyFont="1" applyBorder="1" applyAlignment="1">
      <alignment horizontal="center" vertical="center"/>
    </xf>
    <xf numFmtId="164" fontId="5" fillId="0" borderId="60" xfId="0" applyNumberFormat="1" applyFont="1" applyBorder="1" applyAlignment="1">
      <alignment horizontal="center" vertical="center"/>
    </xf>
    <xf numFmtId="166" fontId="5" fillId="5" borderId="51" xfId="0" applyNumberFormat="1" applyFont="1" applyFill="1" applyBorder="1" applyAlignment="1">
      <alignment horizontal="center" vertical="center"/>
    </xf>
    <xf numFmtId="166" fontId="5" fillId="5" borderId="53" xfId="0" applyNumberFormat="1" applyFont="1" applyFill="1" applyBorder="1" applyAlignment="1">
      <alignment horizontal="center" vertical="center"/>
    </xf>
    <xf numFmtId="166" fontId="5" fillId="5" borderId="52" xfId="0" applyNumberFormat="1" applyFont="1" applyFill="1" applyBorder="1" applyAlignment="1">
      <alignment horizontal="center" vertical="center"/>
    </xf>
    <xf numFmtId="166" fontId="5" fillId="5" borderId="54" xfId="0" applyNumberFormat="1" applyFont="1" applyFill="1" applyBorder="1" applyAlignment="1">
      <alignment horizontal="center" vertical="center"/>
    </xf>
    <xf numFmtId="166" fontId="3" fillId="0" borderId="9" xfId="0" applyNumberFormat="1" applyFont="1" applyBorder="1" applyAlignment="1">
      <alignment horizontal="center" vertical="center"/>
    </xf>
    <xf numFmtId="166" fontId="3" fillId="0" borderId="40" xfId="0" applyNumberFormat="1" applyFont="1" applyBorder="1" applyAlignment="1">
      <alignment horizontal="center" vertical="center"/>
    </xf>
    <xf numFmtId="166" fontId="3" fillId="8" borderId="40" xfId="0" applyNumberFormat="1" applyFont="1" applyFill="1" applyBorder="1" applyAlignment="1">
      <alignment horizontal="center" vertical="center"/>
    </xf>
    <xf numFmtId="166" fontId="3" fillId="0" borderId="36" xfId="0" applyNumberFormat="1" applyFont="1" applyBorder="1" applyAlignment="1">
      <alignment horizontal="center" vertical="center"/>
    </xf>
    <xf numFmtId="166" fontId="3" fillId="8" borderId="38" xfId="0" applyNumberFormat="1" applyFont="1" applyFill="1" applyBorder="1" applyAlignment="1">
      <alignment horizontal="center" vertical="center"/>
    </xf>
    <xf numFmtId="166" fontId="3" fillId="5" borderId="38" xfId="0" applyNumberFormat="1" applyFont="1" applyFill="1" applyBorder="1" applyAlignment="1">
      <alignment horizontal="center" vertical="center"/>
    </xf>
    <xf numFmtId="166" fontId="5" fillId="5" borderId="57" xfId="0" applyNumberFormat="1" applyFont="1" applyFill="1" applyBorder="1" applyAlignment="1">
      <alignment horizontal="center" vertical="center"/>
    </xf>
    <xf numFmtId="166" fontId="3" fillId="0" borderId="27" xfId="0" applyNumberFormat="1" applyFont="1" applyBorder="1" applyAlignment="1">
      <alignment horizontal="center" vertical="center"/>
    </xf>
    <xf numFmtId="166" fontId="5" fillId="0" borderId="51" xfId="0" applyNumberFormat="1" applyFont="1" applyBorder="1" applyAlignment="1">
      <alignment horizontal="center" vertical="center"/>
    </xf>
    <xf numFmtId="166" fontId="5" fillId="8" borderId="8" xfId="0" applyNumberFormat="1" applyFont="1" applyFill="1" applyBorder="1" applyAlignment="1">
      <alignment horizontal="center" vertical="center"/>
    </xf>
    <xf numFmtId="166" fontId="3" fillId="8" borderId="9" xfId="0" applyNumberFormat="1" applyFont="1" applyFill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1" fontId="3" fillId="0" borderId="28" xfId="0" applyNumberFormat="1" applyFont="1" applyBorder="1" applyAlignment="1">
      <alignment horizontal="center" vertical="center"/>
    </xf>
    <xf numFmtId="166" fontId="3" fillId="0" borderId="42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64" fontId="5" fillId="3" borderId="8" xfId="0" applyNumberFormat="1" applyFont="1" applyFill="1" applyBorder="1" applyAlignment="1">
      <alignment horizontal="center" vertical="center"/>
    </xf>
    <xf numFmtId="164" fontId="5" fillId="3" borderId="38" xfId="0" applyNumberFormat="1" applyFont="1" applyFill="1" applyBorder="1" applyAlignment="1">
      <alignment horizontal="center" vertical="center"/>
    </xf>
    <xf numFmtId="164" fontId="5" fillId="3" borderId="25" xfId="0" applyNumberFormat="1" applyFont="1" applyFill="1" applyBorder="1" applyAlignment="1">
      <alignment horizontal="center" vertical="center"/>
    </xf>
    <xf numFmtId="164" fontId="5" fillId="3" borderId="47" xfId="0" applyNumberFormat="1" applyFont="1" applyFill="1" applyBorder="1" applyAlignment="1">
      <alignment horizontal="center" vertical="center"/>
    </xf>
    <xf numFmtId="0" fontId="3" fillId="8" borderId="25" xfId="0" applyFont="1" applyFill="1" applyBorder="1" applyAlignment="1">
      <alignment horizontal="center" vertical="center"/>
    </xf>
    <xf numFmtId="164" fontId="13" fillId="10" borderId="9" xfId="0" applyNumberFormat="1" applyFont="1" applyFill="1" applyBorder="1" applyAlignment="1">
      <alignment horizontal="center" vertical="center"/>
    </xf>
    <xf numFmtId="164" fontId="13" fillId="8" borderId="40" xfId="0" applyNumberFormat="1" applyFont="1" applyFill="1" applyBorder="1" applyAlignment="1">
      <alignment horizontal="center" vertical="center"/>
    </xf>
    <xf numFmtId="164" fontId="13" fillId="10" borderId="40" xfId="0" applyNumberFormat="1" applyFont="1" applyFill="1" applyBorder="1" applyAlignment="1">
      <alignment horizontal="center" vertical="center"/>
    </xf>
    <xf numFmtId="164" fontId="13" fillId="10" borderId="27" xfId="0" applyNumberFormat="1" applyFont="1" applyFill="1" applyBorder="1" applyAlignment="1">
      <alignment horizontal="center" vertical="center"/>
    </xf>
    <xf numFmtId="164" fontId="13" fillId="8" borderId="27" xfId="0" applyNumberFormat="1" applyFont="1" applyFill="1" applyBorder="1" applyAlignment="1">
      <alignment horizontal="center" vertical="center"/>
    </xf>
    <xf numFmtId="1" fontId="3" fillId="0" borderId="39" xfId="0" applyNumberFormat="1" applyFont="1" applyBorder="1" applyAlignment="1">
      <alignment horizontal="center" vertical="center"/>
    </xf>
    <xf numFmtId="164" fontId="14" fillId="8" borderId="40" xfId="0" applyNumberFormat="1" applyFont="1" applyFill="1" applyBorder="1" applyAlignment="1">
      <alignment horizontal="center" vertical="center"/>
    </xf>
    <xf numFmtId="1" fontId="5" fillId="0" borderId="47" xfId="0" applyNumberFormat="1" applyFont="1" applyBorder="1" applyAlignment="1">
      <alignment horizontal="center" vertical="center"/>
    </xf>
    <xf numFmtId="0" fontId="3" fillId="8" borderId="65" xfId="0" applyFont="1" applyFill="1" applyBorder="1" applyAlignment="1">
      <alignment horizontal="center" vertical="center"/>
    </xf>
    <xf numFmtId="164" fontId="13" fillId="10" borderId="36" xfId="0" applyNumberFormat="1" applyFont="1" applyFill="1" applyBorder="1" applyAlignment="1">
      <alignment horizontal="center" vertical="center"/>
    </xf>
    <xf numFmtId="1" fontId="3" fillId="0" borderId="34" xfId="0" applyNumberFormat="1" applyFont="1" applyBorder="1" applyAlignment="1">
      <alignment horizontal="center" vertical="center"/>
    </xf>
    <xf numFmtId="1" fontId="5" fillId="0" borderId="32" xfId="0" applyNumberFormat="1" applyFont="1" applyBorder="1" applyAlignment="1">
      <alignment horizontal="center" vertical="center"/>
    </xf>
    <xf numFmtId="1" fontId="3" fillId="0" borderId="47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66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0" fontId="3" fillId="9" borderId="0" xfId="0" applyFont="1" applyFill="1" applyAlignment="1">
      <alignment vertical="center"/>
    </xf>
    <xf numFmtId="165" fontId="2" fillId="9" borderId="0" xfId="0" applyNumberFormat="1" applyFont="1" applyFill="1" applyAlignment="1">
      <alignment horizontal="center" vertical="center"/>
    </xf>
    <xf numFmtId="0" fontId="5" fillId="9" borderId="0" xfId="0" applyFont="1" applyFill="1" applyAlignment="1" applyProtection="1">
      <alignment horizontal="center" vertical="center"/>
      <protection locked="0"/>
    </xf>
    <xf numFmtId="0" fontId="5" fillId="9" borderId="0" xfId="0" applyFont="1" applyFill="1" applyAlignment="1" applyProtection="1">
      <alignment horizontal="center" vertical="center" wrapText="1"/>
      <protection locked="0"/>
    </xf>
    <xf numFmtId="0" fontId="3" fillId="8" borderId="39" xfId="0" applyFont="1" applyFill="1" applyBorder="1" applyAlignment="1">
      <alignment horizontal="center" vertical="center"/>
    </xf>
    <xf numFmtId="0" fontId="3" fillId="8" borderId="34" xfId="0" applyFont="1" applyFill="1" applyBorder="1" applyAlignment="1">
      <alignment horizontal="center" vertical="center"/>
    </xf>
    <xf numFmtId="0" fontId="3" fillId="8" borderId="47" xfId="0" applyFont="1" applyFill="1" applyBorder="1" applyAlignment="1">
      <alignment horizontal="center" vertical="center"/>
    </xf>
    <xf numFmtId="1" fontId="3" fillId="8" borderId="39" xfId="0" applyNumberFormat="1" applyFont="1" applyFill="1" applyBorder="1" applyAlignment="1">
      <alignment horizontal="center" vertical="center"/>
    </xf>
    <xf numFmtId="1" fontId="3" fillId="8" borderId="47" xfId="0" applyNumberFormat="1" applyFont="1" applyFill="1" applyBorder="1" applyAlignment="1">
      <alignment horizontal="center" vertical="center"/>
    </xf>
    <xf numFmtId="166" fontId="5" fillId="8" borderId="52" xfId="0" applyNumberFormat="1" applyFont="1" applyFill="1" applyBorder="1" applyAlignment="1">
      <alignment horizontal="center" vertical="center"/>
    </xf>
    <xf numFmtId="164" fontId="13" fillId="11" borderId="9" xfId="0" applyNumberFormat="1" applyFont="1" applyFill="1" applyBorder="1" applyAlignment="1">
      <alignment horizontal="center" vertical="center"/>
    </xf>
    <xf numFmtId="164" fontId="13" fillId="11" borderId="40" xfId="0" applyNumberFormat="1" applyFont="1" applyFill="1" applyBorder="1" applyAlignment="1">
      <alignment horizontal="center" vertical="center"/>
    </xf>
    <xf numFmtId="164" fontId="13" fillId="11" borderId="36" xfId="0" applyNumberFormat="1" applyFont="1" applyFill="1" applyBorder="1" applyAlignment="1">
      <alignment horizontal="center" vertical="center"/>
    </xf>
    <xf numFmtId="164" fontId="14" fillId="11" borderId="40" xfId="0" applyNumberFormat="1" applyFont="1" applyFill="1" applyBorder="1" applyAlignment="1">
      <alignment horizontal="center" vertical="center"/>
    </xf>
    <xf numFmtId="164" fontId="13" fillId="11" borderId="27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3" fillId="7" borderId="50" xfId="0" applyFont="1" applyFill="1" applyBorder="1" applyAlignment="1">
      <alignment horizontal="left" vertical="center" wrapText="1"/>
    </xf>
    <xf numFmtId="0" fontId="3" fillId="7" borderId="61" xfId="0" applyFont="1" applyFill="1" applyBorder="1" applyAlignment="1">
      <alignment horizontal="left" vertical="center" wrapText="1"/>
    </xf>
    <xf numFmtId="0" fontId="3" fillId="7" borderId="28" xfId="0" applyFont="1" applyFill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0" fontId="5" fillId="0" borderId="61" xfId="0" applyFont="1" applyBorder="1" applyAlignment="1">
      <alignment horizontal="left" vertical="center" wrapText="1"/>
    </xf>
    <xf numFmtId="0" fontId="5" fillId="0" borderId="49" xfId="0" applyFont="1" applyBorder="1" applyAlignment="1">
      <alignment horizontal="left" vertical="center" wrapText="1"/>
    </xf>
    <xf numFmtId="0" fontId="3" fillId="7" borderId="38" xfId="0" applyFont="1" applyFill="1" applyBorder="1" applyAlignment="1">
      <alignment horizontal="left" vertical="center" wrapText="1"/>
    </xf>
    <xf numFmtId="0" fontId="3" fillId="7" borderId="39" xfId="0" applyFont="1" applyFill="1" applyBorder="1" applyAlignment="1">
      <alignment horizontal="left" vertical="center" wrapText="1"/>
    </xf>
    <xf numFmtId="0" fontId="5" fillId="0" borderId="39" xfId="0" applyFont="1" applyBorder="1" applyAlignment="1">
      <alignment horizontal="left" vertical="center" wrapText="1"/>
    </xf>
    <xf numFmtId="0" fontId="5" fillId="0" borderId="40" xfId="0" applyFont="1" applyBorder="1" applyAlignment="1">
      <alignment horizontal="left" vertical="center" wrapText="1"/>
    </xf>
    <xf numFmtId="0" fontId="3" fillId="7" borderId="45" xfId="0" applyFont="1" applyFill="1" applyBorder="1" applyAlignment="1">
      <alignment horizontal="left" vertical="center" wrapText="1"/>
    </xf>
    <xf numFmtId="0" fontId="3" fillId="7" borderId="46" xfId="0" applyFont="1" applyFill="1" applyBorder="1" applyAlignment="1">
      <alignment horizontal="left" vertical="center" wrapText="1"/>
    </xf>
    <xf numFmtId="0" fontId="3" fillId="7" borderId="42" xfId="0" applyFont="1" applyFill="1" applyBorder="1" applyAlignment="1">
      <alignment horizontal="left" vertical="center" wrapText="1"/>
    </xf>
    <xf numFmtId="9" fontId="5" fillId="0" borderId="41" xfId="0" applyNumberFormat="1" applyFont="1" applyBorder="1" applyAlignment="1">
      <alignment horizontal="left" vertical="center" wrapText="1"/>
    </xf>
    <xf numFmtId="9" fontId="5" fillId="0" borderId="46" xfId="0" applyNumberFormat="1" applyFont="1" applyBorder="1" applyAlignment="1">
      <alignment horizontal="left" vertical="center" wrapText="1"/>
    </xf>
    <xf numFmtId="9" fontId="5" fillId="0" borderId="43" xfId="0" applyNumberFormat="1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5" fillId="0" borderId="46" xfId="0" applyFont="1" applyBorder="1" applyAlignment="1">
      <alignment horizontal="left" vertical="center" wrapText="1"/>
    </xf>
    <xf numFmtId="0" fontId="5" fillId="0" borderId="43" xfId="0" applyFont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7" borderId="25" xfId="0" applyFont="1" applyFill="1" applyBorder="1" applyAlignment="1">
      <alignment horizontal="left" vertical="center" wrapText="1"/>
    </xf>
    <xf numFmtId="0" fontId="3" fillId="7" borderId="47" xfId="0" applyFont="1" applyFill="1" applyBorder="1" applyAlignment="1">
      <alignment horizontal="left" vertical="center" wrapText="1"/>
    </xf>
    <xf numFmtId="0" fontId="5" fillId="0" borderId="47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3" fillId="7" borderId="33" xfId="0" applyFont="1" applyFill="1" applyBorder="1" applyAlignment="1">
      <alignment horizontal="left" vertical="center" wrapText="1"/>
    </xf>
    <xf numFmtId="0" fontId="3" fillId="7" borderId="34" xfId="0" applyFont="1" applyFill="1" applyBorder="1" applyAlignment="1">
      <alignment horizontal="left" vertical="center" wrapText="1"/>
    </xf>
    <xf numFmtId="0" fontId="5" fillId="0" borderId="34" xfId="0" applyFont="1" applyBorder="1" applyAlignment="1">
      <alignment horizontal="left" vertical="center" wrapText="1"/>
    </xf>
    <xf numFmtId="0" fontId="5" fillId="0" borderId="36" xfId="0" applyFont="1" applyBorder="1" applyAlignment="1">
      <alignment horizontal="left" vertical="center" wrapText="1"/>
    </xf>
    <xf numFmtId="0" fontId="3" fillId="6" borderId="4" xfId="0" applyFont="1" applyFill="1" applyBorder="1" applyAlignment="1">
      <alignment horizontal="center" vertical="center" wrapText="1"/>
    </xf>
    <xf numFmtId="9" fontId="5" fillId="0" borderId="39" xfId="0" applyNumberFormat="1" applyFont="1" applyBorder="1" applyAlignment="1">
      <alignment horizontal="left" vertical="center" wrapText="1"/>
    </xf>
    <xf numFmtId="0" fontId="6" fillId="0" borderId="39" xfId="0" applyFont="1" applyBorder="1" applyAlignment="1">
      <alignment horizontal="left" vertical="center" wrapText="1"/>
    </xf>
    <xf numFmtId="0" fontId="6" fillId="0" borderId="40" xfId="0" applyFont="1" applyBorder="1" applyAlignment="1">
      <alignment horizontal="left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6" borderId="14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left" vertical="center" wrapText="1"/>
    </xf>
    <xf numFmtId="0" fontId="3" fillId="7" borderId="32" xfId="0" applyFont="1" applyFill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14" fontId="5" fillId="0" borderId="32" xfId="0" applyNumberFormat="1" applyFont="1" applyBorder="1" applyAlignment="1">
      <alignment horizontal="left" vertical="center" wrapText="1"/>
    </xf>
    <xf numFmtId="14" fontId="5" fillId="0" borderId="39" xfId="0" applyNumberFormat="1" applyFont="1" applyBorder="1" applyAlignment="1">
      <alignment horizontal="left" vertical="center" wrapText="1"/>
    </xf>
    <xf numFmtId="0" fontId="3" fillId="5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5" fillId="5" borderId="26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10" borderId="13" xfId="0" applyFont="1" applyFill="1" applyBorder="1" applyAlignment="1">
      <alignment horizontal="center" vertical="center"/>
    </xf>
    <xf numFmtId="0" fontId="5" fillId="10" borderId="31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/>
    </xf>
    <xf numFmtId="0" fontId="5" fillId="10" borderId="28" xfId="0" applyFont="1" applyFill="1" applyBorder="1" applyAlignment="1">
      <alignment horizontal="center" vertical="center"/>
    </xf>
    <xf numFmtId="0" fontId="5" fillId="10" borderId="32" xfId="0" applyFont="1" applyFill="1" applyBorder="1" applyAlignment="1">
      <alignment horizontal="center" vertical="center"/>
    </xf>
    <xf numFmtId="0" fontId="5" fillId="10" borderId="47" xfId="0" applyFont="1" applyFill="1" applyBorder="1" applyAlignment="1">
      <alignment horizontal="center" vertical="center"/>
    </xf>
    <xf numFmtId="0" fontId="3" fillId="10" borderId="9" xfId="0" applyFont="1" applyFill="1" applyBorder="1" applyAlignment="1">
      <alignment horizontal="center" vertical="center"/>
    </xf>
    <xf numFmtId="0" fontId="3" fillId="10" borderId="27" xfId="0" applyFont="1" applyFill="1" applyBorder="1" applyAlignment="1">
      <alignment horizontal="center" vertical="center"/>
    </xf>
    <xf numFmtId="11" fontId="5" fillId="0" borderId="39" xfId="0" applyNumberFormat="1" applyFont="1" applyBorder="1" applyAlignment="1">
      <alignment horizontal="left" vertical="center" wrapText="1"/>
    </xf>
    <xf numFmtId="11" fontId="6" fillId="0" borderId="39" xfId="0" applyNumberFormat="1" applyFont="1" applyBorder="1" applyAlignment="1">
      <alignment horizontal="left" vertical="center" wrapText="1"/>
    </xf>
    <xf numFmtId="11" fontId="6" fillId="0" borderId="40" xfId="0" applyNumberFormat="1" applyFont="1" applyBorder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7E1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3" Type="http://schemas.openxmlformats.org/officeDocument/2006/relationships/image" Target="../media/image3.jpeg"/><Relationship Id="rId7" Type="http://schemas.openxmlformats.org/officeDocument/2006/relationships/image" Target="../media/image7.jp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jpg"/><Relationship Id="rId3" Type="http://schemas.openxmlformats.org/officeDocument/2006/relationships/image" Target="../media/image9.jpeg"/><Relationship Id="rId7" Type="http://schemas.openxmlformats.org/officeDocument/2006/relationships/image" Target="../media/image13.jp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12.jpg"/><Relationship Id="rId5" Type="http://schemas.openxmlformats.org/officeDocument/2006/relationships/image" Target="../media/image11.jpeg"/><Relationship Id="rId4" Type="http://schemas.openxmlformats.org/officeDocument/2006/relationships/image" Target="../media/image10.jpeg"/><Relationship Id="rId9" Type="http://schemas.openxmlformats.org/officeDocument/2006/relationships/image" Target="../media/image15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5602</xdr:colOff>
      <xdr:row>98</xdr:row>
      <xdr:rowOff>13097</xdr:rowOff>
    </xdr:from>
    <xdr:to>
      <xdr:col>6</xdr:col>
      <xdr:colOff>272302</xdr:colOff>
      <xdr:row>130</xdr:row>
      <xdr:rowOff>13097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5B86D03-77EE-C2A5-7DE6-9A4B1D3FF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602" y="19606022"/>
          <a:ext cx="4572000" cy="6096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322724</xdr:colOff>
      <xdr:row>98</xdr:row>
      <xdr:rowOff>5953</xdr:rowOff>
    </xdr:from>
    <xdr:to>
      <xdr:col>11</xdr:col>
      <xdr:colOff>760874</xdr:colOff>
      <xdr:row>130</xdr:row>
      <xdr:rowOff>5953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99B4DE0E-6C14-4284-B5D5-25AD0CD98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86013" y="19622440"/>
          <a:ext cx="4568993" cy="6096000"/>
        </a:xfrm>
        <a:prstGeom prst="rect">
          <a:avLst/>
        </a:prstGeom>
        <a:noFill/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5953</xdr:colOff>
      <xdr:row>130</xdr:row>
      <xdr:rowOff>54834</xdr:rowOff>
    </xdr:from>
    <xdr:to>
      <xdr:col>6</xdr:col>
      <xdr:colOff>166819</xdr:colOff>
      <xdr:row>162</xdr:row>
      <xdr:rowOff>54834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CFE9152F-336E-FDD9-88D8-814621C0F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953" y="25743759"/>
          <a:ext cx="4572000" cy="6096000"/>
        </a:xfrm>
        <a:prstGeom prst="rect">
          <a:avLst/>
        </a:prstGeom>
        <a:noFill/>
        <a:ln>
          <a:solidFill>
            <a:schemeClr val="accent1"/>
          </a:solidFill>
        </a:ln>
      </xdr:spPr>
    </xdr:pic>
    <xdr:clientData/>
  </xdr:twoCellAnchor>
  <xdr:twoCellAnchor editAs="oneCell">
    <xdr:from>
      <xdr:col>6</xdr:col>
      <xdr:colOff>322722</xdr:colOff>
      <xdr:row>130</xdr:row>
      <xdr:rowOff>54834</xdr:rowOff>
    </xdr:from>
    <xdr:to>
      <xdr:col>11</xdr:col>
      <xdr:colOff>760872</xdr:colOff>
      <xdr:row>162</xdr:row>
      <xdr:rowOff>54834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A25CDF17-D850-070A-9C15-30D073382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86011" y="25767321"/>
          <a:ext cx="4568993" cy="6096000"/>
        </a:xfrm>
        <a:prstGeom prst="rect">
          <a:avLst/>
        </a:prstGeom>
        <a:noFill/>
        <a:ln>
          <a:solidFill>
            <a:schemeClr val="accent1"/>
          </a:solidFill>
        </a:ln>
      </xdr:spPr>
    </xdr:pic>
    <xdr:clientData/>
  </xdr:twoCellAnchor>
  <xdr:twoCellAnchor editAs="oneCell">
    <xdr:from>
      <xdr:col>25</xdr:col>
      <xdr:colOff>19049</xdr:colOff>
      <xdr:row>41</xdr:row>
      <xdr:rowOff>28575</xdr:rowOff>
    </xdr:from>
    <xdr:to>
      <xdr:col>32</xdr:col>
      <xdr:colOff>304800</xdr:colOff>
      <xdr:row>54</xdr:row>
      <xdr:rowOff>183653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86B8512E-F246-4B59-B504-B6A69FCBE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12399" y="8629650"/>
          <a:ext cx="5000626" cy="268872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37</xdr:col>
      <xdr:colOff>523874</xdr:colOff>
      <xdr:row>41</xdr:row>
      <xdr:rowOff>0</xdr:rowOff>
    </xdr:from>
    <xdr:to>
      <xdr:col>44</xdr:col>
      <xdr:colOff>104775</xdr:colOff>
      <xdr:row>55</xdr:row>
      <xdr:rowOff>540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20B6F4C1-A986-FA79-31DC-99BFFDAE5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51474" y="8601075"/>
          <a:ext cx="4876801" cy="272469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52</xdr:col>
      <xdr:colOff>19049</xdr:colOff>
      <xdr:row>39</xdr:row>
      <xdr:rowOff>180974</xdr:rowOff>
    </xdr:from>
    <xdr:to>
      <xdr:col>58</xdr:col>
      <xdr:colOff>134385</xdr:colOff>
      <xdr:row>53</xdr:row>
      <xdr:rowOff>171449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5C8826A8-E4AC-5FF3-DF15-838D0A684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38549" y="8401049"/>
          <a:ext cx="4858785" cy="27146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76</xdr:col>
      <xdr:colOff>19050</xdr:colOff>
      <xdr:row>39</xdr:row>
      <xdr:rowOff>28575</xdr:rowOff>
    </xdr:from>
    <xdr:to>
      <xdr:col>81</xdr:col>
      <xdr:colOff>742951</xdr:colOff>
      <xdr:row>53</xdr:row>
      <xdr:rowOff>180975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391C3665-7F09-1CA4-62C6-E8EAF237E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78875" y="8248650"/>
          <a:ext cx="4762500" cy="28765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98</xdr:row>
      <xdr:rowOff>7144</xdr:rowOff>
    </xdr:from>
    <xdr:to>
      <xdr:col>6</xdr:col>
      <xdr:colOff>266700</xdr:colOff>
      <xdr:row>130</xdr:row>
      <xdr:rowOff>7144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EC0E67C-ECCC-4436-9435-2DF1B098A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600069"/>
          <a:ext cx="4572000" cy="6096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317122</xdr:colOff>
      <xdr:row>98</xdr:row>
      <xdr:rowOff>9525</xdr:rowOff>
    </xdr:from>
    <xdr:to>
      <xdr:col>11</xdr:col>
      <xdr:colOff>755272</xdr:colOff>
      <xdr:row>130</xdr:row>
      <xdr:rowOff>9525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B6CF14CB-6194-4019-BF6A-498B1F843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84422" y="19602450"/>
          <a:ext cx="4572000" cy="6096000"/>
        </a:xfrm>
        <a:prstGeom prst="rect">
          <a:avLst/>
        </a:prstGeom>
        <a:noFill/>
        <a:ln>
          <a:solidFill>
            <a:schemeClr val="accent1"/>
          </a:solidFill>
        </a:ln>
      </xdr:spPr>
    </xdr:pic>
    <xdr:clientData/>
  </xdr:twoCellAnchor>
  <xdr:twoCellAnchor>
    <xdr:from>
      <xdr:col>1</xdr:col>
      <xdr:colOff>0</xdr:colOff>
      <xdr:row>130</xdr:row>
      <xdr:rowOff>66675</xdr:rowOff>
    </xdr:from>
    <xdr:to>
      <xdr:col>6</xdr:col>
      <xdr:colOff>266700</xdr:colOff>
      <xdr:row>162</xdr:row>
      <xdr:rowOff>66675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6B1FE0DE-90BE-927F-648E-4F74D5DDB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755600"/>
          <a:ext cx="4572000" cy="6096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314325</xdr:colOff>
      <xdr:row>130</xdr:row>
      <xdr:rowOff>57150</xdr:rowOff>
    </xdr:from>
    <xdr:to>
      <xdr:col>11</xdr:col>
      <xdr:colOff>752475</xdr:colOff>
      <xdr:row>162</xdr:row>
      <xdr:rowOff>57150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7C130BB1-167F-727B-26ED-8D1C2CEBF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81625" y="25746075"/>
          <a:ext cx="4572000" cy="6096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800100</xdr:colOff>
      <xdr:row>130</xdr:row>
      <xdr:rowOff>57150</xdr:rowOff>
    </xdr:from>
    <xdr:to>
      <xdr:col>16</xdr:col>
      <xdr:colOff>638175</xdr:colOff>
      <xdr:row>162</xdr:row>
      <xdr:rowOff>57150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05D278BA-58C2-18B5-11B7-0ABA2C833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250" y="25746075"/>
          <a:ext cx="4572000" cy="6096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10583</xdr:colOff>
      <xdr:row>41</xdr:row>
      <xdr:rowOff>10582</xdr:rowOff>
    </xdr:from>
    <xdr:to>
      <xdr:col>32</xdr:col>
      <xdr:colOff>154493</xdr:colOff>
      <xdr:row>55</xdr:row>
      <xdr:rowOff>1057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D985E00A-AC84-9541-C558-8BEF201DC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97583" y="8646582"/>
          <a:ext cx="4874660" cy="27209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38</xdr:col>
      <xdr:colOff>26457</xdr:colOff>
      <xdr:row>41</xdr:row>
      <xdr:rowOff>21166</xdr:rowOff>
    </xdr:from>
    <xdr:to>
      <xdr:col>44</xdr:col>
      <xdr:colOff>33267</xdr:colOff>
      <xdr:row>55</xdr:row>
      <xdr:rowOff>11641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5631765D-BBA8-E86B-155D-8F61AEE4A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19207" y="8657166"/>
          <a:ext cx="4779893" cy="27209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51</xdr:col>
      <xdr:colOff>761999</xdr:colOff>
      <xdr:row>40</xdr:row>
      <xdr:rowOff>190499</xdr:rowOff>
    </xdr:from>
    <xdr:to>
      <xdr:col>58</xdr:col>
      <xdr:colOff>10582</xdr:colOff>
      <xdr:row>55</xdr:row>
      <xdr:rowOff>10583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ABA9EB2F-18F8-E364-1E52-44DD03765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61832" y="8635999"/>
          <a:ext cx="4751917" cy="274108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76</xdr:col>
      <xdr:colOff>0</xdr:colOff>
      <xdr:row>39</xdr:row>
      <xdr:rowOff>190498</xdr:rowOff>
    </xdr:from>
    <xdr:to>
      <xdr:col>81</xdr:col>
      <xdr:colOff>749652</xdr:colOff>
      <xdr:row>53</xdr:row>
      <xdr:rowOff>190499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3C95B142-7BB2-8B6E-628D-F3DD7709C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05333" y="8445498"/>
          <a:ext cx="4792486" cy="273050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65B68-0DC0-4C1F-ADA3-A6C1520155AF}">
  <dimension ref="B2:CH150"/>
  <sheetViews>
    <sheetView tabSelected="1" topLeftCell="A27" zoomScale="90" zoomScaleNormal="90" workbookViewId="0">
      <selection activeCell="O51" sqref="O51"/>
    </sheetView>
  </sheetViews>
  <sheetFormatPr defaultColWidth="11.42578125" defaultRowHeight="15" x14ac:dyDescent="0.25"/>
  <cols>
    <col min="1" max="1" width="11.42578125" style="1"/>
    <col min="2" max="2" width="17.140625" style="1" customWidth="1"/>
    <col min="3" max="3" width="13.85546875" style="1" customWidth="1"/>
    <col min="4" max="4" width="12.28515625" style="1" customWidth="1"/>
    <col min="5" max="8" width="11.42578125" style="1"/>
    <col min="9" max="9" width="12.42578125" style="1" customWidth="1"/>
    <col min="10" max="10" width="11.42578125" style="1"/>
    <col min="11" max="11" width="15.28515625" style="1" customWidth="1"/>
    <col min="12" max="12" width="18.85546875" style="1" customWidth="1"/>
    <col min="13" max="13" width="12.5703125" style="1" customWidth="1"/>
    <col min="14" max="15" width="13.5703125" style="1" customWidth="1"/>
    <col min="16" max="17" width="12.42578125" style="1" customWidth="1"/>
    <col min="18" max="19" width="13.42578125" style="1" customWidth="1"/>
    <col min="20" max="20" width="15.140625" style="1" customWidth="1"/>
    <col min="21" max="21" width="18.140625" style="2" customWidth="1"/>
    <col min="22" max="24" width="17.28515625" style="2" customWidth="1"/>
    <col min="25" max="25" width="11.42578125" style="1"/>
    <col min="26" max="26" width="14.7109375" style="1" customWidth="1"/>
    <col min="27" max="30" width="10.5703125" style="2" customWidth="1"/>
    <col min="31" max="31" width="2.85546875" style="2" customWidth="1"/>
    <col min="32" max="32" width="10.85546875" style="2" customWidth="1"/>
    <col min="33" max="38" width="7.85546875" style="2" customWidth="1"/>
    <col min="39" max="39" width="14.42578125" style="1" customWidth="1"/>
    <col min="40" max="52" width="11.42578125" style="1"/>
    <col min="53" max="53" width="14" style="1" customWidth="1"/>
    <col min="54" max="64" width="11.42578125" style="1"/>
    <col min="65" max="65" width="2.140625" style="3" customWidth="1"/>
    <col min="66" max="76" width="11.42578125" style="1"/>
    <col min="77" max="77" width="14.85546875" style="1" customWidth="1"/>
    <col min="78" max="82" width="11.42578125" style="1"/>
    <col min="83" max="83" width="14.85546875" style="1" customWidth="1"/>
    <col min="84" max="85" width="11.42578125" style="1"/>
    <col min="86" max="86" width="18.7109375" style="1" customWidth="1"/>
    <col min="87" max="16384" width="11.42578125" style="1"/>
  </cols>
  <sheetData>
    <row r="2" spans="2:86" ht="21" x14ac:dyDescent="0.25">
      <c r="B2" s="173" t="s">
        <v>0</v>
      </c>
      <c r="C2" s="346" t="s">
        <v>228</v>
      </c>
      <c r="D2" s="174"/>
      <c r="H2" s="165"/>
    </row>
    <row r="3" spans="2:86" s="174" customFormat="1" ht="24.75" customHeight="1" x14ac:dyDescent="0.35">
      <c r="B3" s="175" t="s">
        <v>1</v>
      </c>
      <c r="C3" s="174" t="s">
        <v>2</v>
      </c>
      <c r="K3" s="174" t="s">
        <v>3</v>
      </c>
      <c r="U3" s="180"/>
      <c r="V3" s="180"/>
      <c r="W3" s="180"/>
      <c r="X3" s="180"/>
      <c r="Z3" s="173" t="s">
        <v>4</v>
      </c>
      <c r="AA3" s="180"/>
      <c r="AB3" s="180"/>
      <c r="AC3" s="180"/>
      <c r="AD3" s="180"/>
      <c r="AE3" s="180"/>
      <c r="AF3" s="180"/>
      <c r="AG3" s="180"/>
      <c r="AH3" s="180"/>
      <c r="AI3" s="180"/>
      <c r="AJ3" s="180"/>
      <c r="AK3" s="180"/>
      <c r="AL3" s="180"/>
      <c r="AM3" s="173" t="s">
        <v>5</v>
      </c>
      <c r="AN3" s="180"/>
      <c r="AO3" s="180"/>
      <c r="BA3" s="175" t="s">
        <v>6</v>
      </c>
      <c r="BM3" s="181"/>
      <c r="BY3" s="175" t="s">
        <v>7</v>
      </c>
      <c r="CE3" s="173" t="s">
        <v>8</v>
      </c>
    </row>
    <row r="4" spans="2:86" ht="24.75" customHeight="1" x14ac:dyDescent="0.25">
      <c r="B4" s="175" t="s">
        <v>9</v>
      </c>
      <c r="C4" s="174" t="s">
        <v>10</v>
      </c>
      <c r="D4" s="174"/>
      <c r="AN4" s="2"/>
      <c r="AO4" s="2"/>
    </row>
    <row r="5" spans="2:86" ht="24.75" customHeight="1" x14ac:dyDescent="0.25">
      <c r="B5" s="175" t="s">
        <v>11</v>
      </c>
      <c r="C5" s="174" t="s">
        <v>12</v>
      </c>
      <c r="D5" s="174"/>
      <c r="AN5" s="2"/>
      <c r="AO5" s="2"/>
    </row>
    <row r="6" spans="2:86" ht="24.75" customHeight="1" thickBot="1" x14ac:dyDescent="0.3">
      <c r="B6" s="175" t="s">
        <v>13</v>
      </c>
      <c r="C6" s="174" t="s">
        <v>14</v>
      </c>
      <c r="D6" s="174"/>
      <c r="AN6" s="2"/>
      <c r="AO6" s="2"/>
      <c r="BA6" s="1" t="s">
        <v>15</v>
      </c>
      <c r="BN6" s="1" t="s">
        <v>16</v>
      </c>
    </row>
    <row r="7" spans="2:86" ht="15.75" thickBot="1" x14ac:dyDescent="0.3">
      <c r="K7" s="4"/>
      <c r="L7" s="4"/>
      <c r="M7" s="4"/>
      <c r="N7" s="412" t="s">
        <v>17</v>
      </c>
      <c r="O7" s="413"/>
      <c r="P7" s="414"/>
      <c r="Q7" s="415"/>
      <c r="U7" s="416" t="s">
        <v>18</v>
      </c>
      <c r="V7" s="417"/>
      <c r="W7" s="416" t="s">
        <v>19</v>
      </c>
      <c r="X7" s="417"/>
      <c r="Z7" s="418" t="s">
        <v>20</v>
      </c>
      <c r="AA7" s="420" t="s">
        <v>21</v>
      </c>
      <c r="AB7" s="400"/>
      <c r="AC7" s="420" t="s">
        <v>22</v>
      </c>
      <c r="AD7" s="400"/>
      <c r="AE7" s="4"/>
      <c r="AF7" s="4"/>
      <c r="AG7" s="4"/>
      <c r="AH7" s="4"/>
      <c r="AI7" s="4"/>
      <c r="AJ7" s="4"/>
      <c r="AK7" s="4"/>
      <c r="AL7" s="4"/>
      <c r="AM7" s="410" t="s">
        <v>20</v>
      </c>
      <c r="AN7" s="402" t="s">
        <v>23</v>
      </c>
      <c r="AO7" s="403"/>
      <c r="AP7" s="402" t="s">
        <v>24</v>
      </c>
      <c r="AQ7" s="403"/>
      <c r="AR7" s="402" t="s">
        <v>25</v>
      </c>
      <c r="AS7" s="403"/>
      <c r="AT7" s="402" t="s">
        <v>26</v>
      </c>
      <c r="AU7" s="403"/>
      <c r="AV7" s="402" t="s">
        <v>27</v>
      </c>
      <c r="AW7" s="403"/>
      <c r="AX7" s="402" t="s">
        <v>28</v>
      </c>
      <c r="AY7" s="403"/>
      <c r="BA7" s="406" t="s">
        <v>20</v>
      </c>
      <c r="BB7" s="408" t="s">
        <v>29</v>
      </c>
      <c r="BC7" s="394" t="s">
        <v>30</v>
      </c>
      <c r="BD7" s="405"/>
      <c r="BE7" s="394" t="s">
        <v>31</v>
      </c>
      <c r="BF7" s="395"/>
      <c r="BG7" s="404" t="s">
        <v>32</v>
      </c>
      <c r="BH7" s="405"/>
      <c r="BI7" s="394" t="s">
        <v>33</v>
      </c>
      <c r="BJ7" s="395"/>
      <c r="BK7" s="394" t="s">
        <v>34</v>
      </c>
      <c r="BL7" s="395"/>
      <c r="BN7" s="394" t="s">
        <v>35</v>
      </c>
      <c r="BO7" s="395"/>
      <c r="BP7" s="404" t="s">
        <v>36</v>
      </c>
      <c r="BQ7" s="405"/>
      <c r="BR7" s="394" t="s">
        <v>37</v>
      </c>
      <c r="BS7" s="395"/>
      <c r="BT7" s="404" t="s">
        <v>38</v>
      </c>
      <c r="BU7" s="405"/>
      <c r="BV7" s="394" t="s">
        <v>39</v>
      </c>
      <c r="BW7" s="395"/>
      <c r="BY7" s="396" t="s">
        <v>20</v>
      </c>
      <c r="BZ7" s="398" t="s">
        <v>29</v>
      </c>
      <c r="CA7" s="400" t="s">
        <v>40</v>
      </c>
      <c r="CB7" s="368" t="s">
        <v>41</v>
      </c>
      <c r="CC7" s="367"/>
      <c r="CE7" s="421" t="s">
        <v>20</v>
      </c>
      <c r="CF7" s="423" t="s">
        <v>29</v>
      </c>
      <c r="CG7" s="425" t="s">
        <v>40</v>
      </c>
      <c r="CH7" s="427" t="s">
        <v>42</v>
      </c>
    </row>
    <row r="8" spans="2:86" s="4" customFormat="1" ht="15.75" thickBot="1" x14ac:dyDescent="0.3">
      <c r="B8" s="385" t="s">
        <v>43</v>
      </c>
      <c r="C8" s="386"/>
      <c r="D8" s="386"/>
      <c r="E8" s="386"/>
      <c r="F8" s="386"/>
      <c r="G8" s="386"/>
      <c r="H8" s="386"/>
      <c r="I8" s="387"/>
      <c r="J8" s="8"/>
      <c r="K8" s="5" t="s">
        <v>20</v>
      </c>
      <c r="L8" s="6" t="s">
        <v>44</v>
      </c>
      <c r="M8" s="9" t="s">
        <v>45</v>
      </c>
      <c r="N8" s="10" t="s">
        <v>46</v>
      </c>
      <c r="O8" s="11" t="s">
        <v>47</v>
      </c>
      <c r="P8" s="12" t="s">
        <v>48</v>
      </c>
      <c r="Q8" s="13" t="s">
        <v>49</v>
      </c>
      <c r="R8" s="5" t="s">
        <v>41</v>
      </c>
      <c r="S8" s="6" t="s">
        <v>8</v>
      </c>
      <c r="T8" s="9" t="s">
        <v>50</v>
      </c>
      <c r="U8" s="5" t="s">
        <v>51</v>
      </c>
      <c r="V8" s="7" t="s">
        <v>52</v>
      </c>
      <c r="W8" s="14" t="s">
        <v>53</v>
      </c>
      <c r="X8" s="14" t="s">
        <v>54</v>
      </c>
      <c r="Z8" s="419"/>
      <c r="AA8" s="15" t="s">
        <v>55</v>
      </c>
      <c r="AB8" s="16" t="s">
        <v>56</v>
      </c>
      <c r="AC8" s="15" t="s">
        <v>55</v>
      </c>
      <c r="AD8" s="16" t="s">
        <v>56</v>
      </c>
      <c r="AE8" s="2"/>
      <c r="AF8" s="2"/>
      <c r="AG8" s="2"/>
      <c r="AH8" s="2"/>
      <c r="AI8" s="2"/>
      <c r="AJ8" s="2"/>
      <c r="AK8" s="1"/>
      <c r="AL8" s="1"/>
      <c r="AM8" s="411"/>
      <c r="AN8" s="17" t="s">
        <v>55</v>
      </c>
      <c r="AO8" s="18" t="s">
        <v>56</v>
      </c>
      <c r="AP8" s="17" t="s">
        <v>55</v>
      </c>
      <c r="AQ8" s="18" t="s">
        <v>56</v>
      </c>
      <c r="AR8" s="17" t="s">
        <v>55</v>
      </c>
      <c r="AS8" s="18" t="s">
        <v>56</v>
      </c>
      <c r="AT8" s="17" t="s">
        <v>55</v>
      </c>
      <c r="AU8" s="18" t="s">
        <v>56</v>
      </c>
      <c r="AV8" s="17" t="s">
        <v>55</v>
      </c>
      <c r="AW8" s="18" t="s">
        <v>56</v>
      </c>
      <c r="AX8" s="17" t="s">
        <v>55</v>
      </c>
      <c r="AY8" s="18" t="s">
        <v>56</v>
      </c>
      <c r="BA8" s="407"/>
      <c r="BB8" s="409"/>
      <c r="BC8" s="19" t="s">
        <v>55</v>
      </c>
      <c r="BD8" s="20" t="s">
        <v>56</v>
      </c>
      <c r="BE8" s="19" t="s">
        <v>55</v>
      </c>
      <c r="BF8" s="21" t="s">
        <v>56</v>
      </c>
      <c r="BG8" s="22" t="s">
        <v>55</v>
      </c>
      <c r="BH8" s="20" t="s">
        <v>56</v>
      </c>
      <c r="BI8" s="19" t="s">
        <v>55</v>
      </c>
      <c r="BJ8" s="21" t="s">
        <v>56</v>
      </c>
      <c r="BK8" s="19" t="s">
        <v>55</v>
      </c>
      <c r="BL8" s="21" t="s">
        <v>56</v>
      </c>
      <c r="BN8" s="23" t="s">
        <v>55</v>
      </c>
      <c r="BO8" s="24" t="s">
        <v>56</v>
      </c>
      <c r="BP8" s="25" t="s">
        <v>55</v>
      </c>
      <c r="BQ8" s="26" t="s">
        <v>56</v>
      </c>
      <c r="BR8" s="23" t="s">
        <v>55</v>
      </c>
      <c r="BS8" s="24" t="s">
        <v>56</v>
      </c>
      <c r="BT8" s="25" t="s">
        <v>55</v>
      </c>
      <c r="BU8" s="26" t="s">
        <v>56</v>
      </c>
      <c r="BV8" s="23" t="s">
        <v>55</v>
      </c>
      <c r="BW8" s="24" t="s">
        <v>56</v>
      </c>
      <c r="BY8" s="397"/>
      <c r="BZ8" s="399"/>
      <c r="CA8" s="401"/>
      <c r="CB8" s="27" t="s">
        <v>55</v>
      </c>
      <c r="CC8" s="28" t="s">
        <v>56</v>
      </c>
      <c r="CE8" s="422"/>
      <c r="CF8" s="424"/>
      <c r="CG8" s="426"/>
      <c r="CH8" s="428"/>
    </row>
    <row r="9" spans="2:86" ht="15.75" thickBot="1" x14ac:dyDescent="0.3">
      <c r="B9" s="388" t="s">
        <v>57</v>
      </c>
      <c r="C9" s="389"/>
      <c r="D9" s="389"/>
      <c r="E9" s="389"/>
      <c r="F9" s="392">
        <v>45541</v>
      </c>
      <c r="G9" s="390"/>
      <c r="H9" s="390"/>
      <c r="I9" s="391"/>
      <c r="J9" s="29"/>
      <c r="K9" s="30" t="s">
        <v>58</v>
      </c>
      <c r="L9" s="31" t="s">
        <v>59</v>
      </c>
      <c r="M9" s="32" t="s">
        <v>60</v>
      </c>
      <c r="N9" s="33" t="s">
        <v>61</v>
      </c>
      <c r="O9" s="34" t="s">
        <v>61</v>
      </c>
      <c r="P9" s="35" t="s">
        <v>62</v>
      </c>
      <c r="Q9" s="36" t="s">
        <v>62</v>
      </c>
      <c r="R9" s="37" t="s">
        <v>62</v>
      </c>
      <c r="S9" s="38" t="s">
        <v>62</v>
      </c>
      <c r="T9" s="39" t="s">
        <v>60</v>
      </c>
      <c r="U9" s="33" t="s">
        <v>62</v>
      </c>
      <c r="V9" s="40" t="s">
        <v>62</v>
      </c>
      <c r="W9" s="176" t="s">
        <v>63</v>
      </c>
      <c r="X9" s="176" t="s">
        <v>63</v>
      </c>
      <c r="Z9" s="30" t="s">
        <v>58</v>
      </c>
      <c r="AA9" s="33" t="s">
        <v>64</v>
      </c>
      <c r="AB9" s="41">
        <v>29.0291113796149</v>
      </c>
      <c r="AC9" s="33" t="s">
        <v>64</v>
      </c>
      <c r="AD9" s="41">
        <v>29.190023738146301</v>
      </c>
      <c r="AE9" s="1"/>
      <c r="AF9" s="1"/>
      <c r="AG9" s="4" t="s">
        <v>65</v>
      </c>
      <c r="AH9" s="1"/>
      <c r="AI9" s="1"/>
      <c r="AK9" s="1"/>
      <c r="AL9" s="1"/>
      <c r="AM9" s="30" t="s">
        <v>58</v>
      </c>
      <c r="AN9" s="212"/>
      <c r="AO9" s="213"/>
      <c r="AP9" s="212"/>
      <c r="AQ9" s="214"/>
      <c r="AR9" s="212"/>
      <c r="AS9" s="215"/>
      <c r="AT9" s="212"/>
      <c r="AU9" s="215"/>
      <c r="AV9" s="212"/>
      <c r="AW9" s="215"/>
      <c r="AX9" s="212"/>
      <c r="AY9" s="215"/>
      <c r="BA9" s="30" t="s">
        <v>58</v>
      </c>
      <c r="BB9" s="44" t="s">
        <v>62</v>
      </c>
      <c r="BC9" s="237"/>
      <c r="BD9" s="238"/>
      <c r="BE9" s="239"/>
      <c r="BF9" s="240"/>
      <c r="BG9" s="237"/>
      <c r="BH9" s="238"/>
      <c r="BI9" s="239"/>
      <c r="BJ9" s="240"/>
      <c r="BK9" s="239"/>
      <c r="BL9" s="240"/>
      <c r="BN9" s="249"/>
      <c r="BO9" s="250"/>
      <c r="BP9" s="249"/>
      <c r="BQ9" s="250"/>
      <c r="BR9" s="249"/>
      <c r="BS9" s="250"/>
      <c r="BT9" s="249"/>
      <c r="BU9" s="250"/>
      <c r="BV9" s="249"/>
      <c r="BW9" s="250"/>
      <c r="BY9" s="192" t="s">
        <v>58</v>
      </c>
      <c r="BZ9" s="261"/>
      <c r="CA9" s="262"/>
      <c r="CB9" s="237"/>
      <c r="CC9" s="240"/>
      <c r="CE9" s="326" t="s">
        <v>58</v>
      </c>
      <c r="CF9" s="325" t="s">
        <v>61</v>
      </c>
      <c r="CG9" s="306" t="s">
        <v>61</v>
      </c>
      <c r="CH9" s="320"/>
    </row>
    <row r="10" spans="2:86" x14ac:dyDescent="0.25">
      <c r="B10" s="353" t="s">
        <v>66</v>
      </c>
      <c r="C10" s="354"/>
      <c r="D10" s="354"/>
      <c r="E10" s="354"/>
      <c r="F10" s="393">
        <v>45544</v>
      </c>
      <c r="G10" s="355"/>
      <c r="H10" s="355"/>
      <c r="I10" s="356"/>
      <c r="J10" s="29"/>
      <c r="K10" s="45" t="s">
        <v>67</v>
      </c>
      <c r="L10" s="46" t="s">
        <v>59</v>
      </c>
      <c r="M10" s="47" t="s">
        <v>60</v>
      </c>
      <c r="N10" s="48" t="s">
        <v>61</v>
      </c>
      <c r="O10" s="49" t="s">
        <v>61</v>
      </c>
      <c r="P10" s="50" t="s">
        <v>62</v>
      </c>
      <c r="Q10" s="51" t="s">
        <v>62</v>
      </c>
      <c r="R10" s="48" t="s">
        <v>62</v>
      </c>
      <c r="S10" s="50" t="s">
        <v>62</v>
      </c>
      <c r="T10" s="39" t="s">
        <v>60</v>
      </c>
      <c r="U10" s="48" t="s">
        <v>62</v>
      </c>
      <c r="V10" s="52" t="s">
        <v>62</v>
      </c>
      <c r="W10" s="177" t="s">
        <v>63</v>
      </c>
      <c r="X10" s="177" t="s">
        <v>63</v>
      </c>
      <c r="Z10" s="45" t="s">
        <v>67</v>
      </c>
      <c r="AA10" s="48" t="s">
        <v>64</v>
      </c>
      <c r="AB10" s="53">
        <v>29.468081142614601</v>
      </c>
      <c r="AC10" s="48" t="s">
        <v>64</v>
      </c>
      <c r="AD10" s="53">
        <v>29.0786172795878</v>
      </c>
      <c r="AE10" s="1"/>
      <c r="AG10" s="366" t="s">
        <v>68</v>
      </c>
      <c r="AH10" s="367"/>
      <c r="AI10" s="368" t="s">
        <v>69</v>
      </c>
      <c r="AJ10" s="367"/>
      <c r="AK10" s="1"/>
      <c r="AL10" s="1"/>
      <c r="AM10" s="45" t="s">
        <v>67</v>
      </c>
      <c r="AN10" s="216"/>
      <c r="AO10" s="217"/>
      <c r="AP10" s="216"/>
      <c r="AQ10" s="218"/>
      <c r="AR10" s="216"/>
      <c r="AS10" s="219"/>
      <c r="AT10" s="216"/>
      <c r="AU10" s="219"/>
      <c r="AV10" s="216"/>
      <c r="AW10" s="219"/>
      <c r="AX10" s="216"/>
      <c r="AY10" s="219"/>
      <c r="BA10" s="45" t="s">
        <v>67</v>
      </c>
      <c r="BB10" s="55" t="s">
        <v>62</v>
      </c>
      <c r="BC10" s="241"/>
      <c r="BD10" s="242"/>
      <c r="BE10" s="243"/>
      <c r="BF10" s="244"/>
      <c r="BG10" s="241"/>
      <c r="BH10" s="242"/>
      <c r="BI10" s="243"/>
      <c r="BJ10" s="244"/>
      <c r="BK10" s="243"/>
      <c r="BL10" s="244"/>
      <c r="BN10" s="251"/>
      <c r="BO10" s="252"/>
      <c r="BP10" s="251"/>
      <c r="BQ10" s="252"/>
      <c r="BR10" s="251"/>
      <c r="BS10" s="252"/>
      <c r="BT10" s="251"/>
      <c r="BU10" s="252"/>
      <c r="BV10" s="251"/>
      <c r="BW10" s="252"/>
      <c r="BY10" s="193" t="s">
        <v>67</v>
      </c>
      <c r="BZ10" s="241"/>
      <c r="CA10" s="244"/>
      <c r="CB10" s="241"/>
      <c r="CC10" s="244"/>
      <c r="CE10" s="192" t="s">
        <v>67</v>
      </c>
      <c r="CF10" s="58" t="s">
        <v>61</v>
      </c>
      <c r="CG10" s="113" t="s">
        <v>61</v>
      </c>
      <c r="CH10" s="262"/>
    </row>
    <row r="11" spans="2:86" ht="15.75" thickBot="1" x14ac:dyDescent="0.3">
      <c r="B11" s="353" t="s">
        <v>70</v>
      </c>
      <c r="C11" s="354"/>
      <c r="D11" s="354"/>
      <c r="E11" s="354"/>
      <c r="F11" s="355" t="s">
        <v>71</v>
      </c>
      <c r="G11" s="355"/>
      <c r="H11" s="355"/>
      <c r="I11" s="356"/>
      <c r="J11" s="29"/>
      <c r="K11" s="45" t="s">
        <v>72</v>
      </c>
      <c r="L11" s="46" t="s">
        <v>59</v>
      </c>
      <c r="M11" s="47" t="s">
        <v>60</v>
      </c>
      <c r="N11" s="48" t="s">
        <v>61</v>
      </c>
      <c r="O11" s="49" t="s">
        <v>61</v>
      </c>
      <c r="P11" s="50" t="s">
        <v>62</v>
      </c>
      <c r="Q11" s="51" t="s">
        <v>62</v>
      </c>
      <c r="R11" s="48" t="s">
        <v>62</v>
      </c>
      <c r="S11" s="50" t="s">
        <v>62</v>
      </c>
      <c r="T11" s="39" t="s">
        <v>60</v>
      </c>
      <c r="U11" s="48" t="s">
        <v>62</v>
      </c>
      <c r="V11" s="52" t="s">
        <v>62</v>
      </c>
      <c r="W11" s="177" t="s">
        <v>63</v>
      </c>
      <c r="X11" s="177" t="s">
        <v>63</v>
      </c>
      <c r="Z11" s="45" t="s">
        <v>72</v>
      </c>
      <c r="AA11" s="48" t="s">
        <v>64</v>
      </c>
      <c r="AB11" s="53">
        <v>29.7544711112401</v>
      </c>
      <c r="AC11" s="48" t="s">
        <v>64</v>
      </c>
      <c r="AD11" s="53">
        <v>29.044011322932299</v>
      </c>
      <c r="AE11" s="1"/>
      <c r="AG11" s="56" t="s">
        <v>55</v>
      </c>
      <c r="AH11" s="28" t="s">
        <v>56</v>
      </c>
      <c r="AI11" s="27" t="s">
        <v>55</v>
      </c>
      <c r="AJ11" s="28" t="s">
        <v>56</v>
      </c>
      <c r="AK11" s="1"/>
      <c r="AL11" s="1"/>
      <c r="AM11" s="45" t="s">
        <v>72</v>
      </c>
      <c r="AN11" s="216"/>
      <c r="AO11" s="217"/>
      <c r="AP11" s="216"/>
      <c r="AQ11" s="218"/>
      <c r="AR11" s="216"/>
      <c r="AS11" s="217"/>
      <c r="AT11" s="216"/>
      <c r="AU11" s="217"/>
      <c r="AV11" s="216"/>
      <c r="AW11" s="217"/>
      <c r="AX11" s="216"/>
      <c r="AY11" s="217"/>
      <c r="BA11" s="45" t="s">
        <v>72</v>
      </c>
      <c r="BB11" s="55" t="s">
        <v>62</v>
      </c>
      <c r="BC11" s="241"/>
      <c r="BD11" s="242"/>
      <c r="BE11" s="243"/>
      <c r="BF11" s="244"/>
      <c r="BG11" s="241"/>
      <c r="BH11" s="242"/>
      <c r="BI11" s="243"/>
      <c r="BJ11" s="244"/>
      <c r="BK11" s="243"/>
      <c r="BL11" s="244"/>
      <c r="BN11" s="251"/>
      <c r="BO11" s="252"/>
      <c r="BP11" s="251"/>
      <c r="BQ11" s="252"/>
      <c r="BR11" s="251"/>
      <c r="BS11" s="252"/>
      <c r="BT11" s="251"/>
      <c r="BU11" s="252"/>
      <c r="BV11" s="251"/>
      <c r="BW11" s="252"/>
      <c r="BY11" s="193" t="s">
        <v>72</v>
      </c>
      <c r="BZ11" s="241"/>
      <c r="CA11" s="244"/>
      <c r="CB11" s="241"/>
      <c r="CC11" s="244"/>
      <c r="CE11" s="193" t="s">
        <v>72</v>
      </c>
      <c r="CF11" s="97" t="s">
        <v>61</v>
      </c>
      <c r="CG11" s="280" t="s">
        <v>61</v>
      </c>
      <c r="CH11" s="244"/>
    </row>
    <row r="12" spans="2:86" x14ac:dyDescent="0.25">
      <c r="B12" s="357" t="s">
        <v>73</v>
      </c>
      <c r="C12" s="358"/>
      <c r="D12" s="358"/>
      <c r="E12" s="359"/>
      <c r="F12" s="355" t="s">
        <v>74</v>
      </c>
      <c r="G12" s="383"/>
      <c r="H12" s="383"/>
      <c r="I12" s="384"/>
      <c r="J12" s="29"/>
      <c r="K12" s="45" t="s">
        <v>75</v>
      </c>
      <c r="L12" s="46" t="s">
        <v>76</v>
      </c>
      <c r="M12" s="47" t="s">
        <v>60</v>
      </c>
      <c r="N12" s="48" t="s">
        <v>61</v>
      </c>
      <c r="O12" s="49" t="s">
        <v>61</v>
      </c>
      <c r="P12" s="50" t="s">
        <v>62</v>
      </c>
      <c r="Q12" s="51" t="s">
        <v>62</v>
      </c>
      <c r="R12" s="48" t="s">
        <v>62</v>
      </c>
      <c r="S12" s="50" t="s">
        <v>62</v>
      </c>
      <c r="T12" s="39" t="s">
        <v>60</v>
      </c>
      <c r="U12" s="48" t="s">
        <v>62</v>
      </c>
      <c r="V12" s="52" t="s">
        <v>62</v>
      </c>
      <c r="W12" s="177" t="s">
        <v>63</v>
      </c>
      <c r="X12" s="177" t="s">
        <v>63</v>
      </c>
      <c r="Z12" s="45" t="s">
        <v>75</v>
      </c>
      <c r="AA12" s="48" t="s">
        <v>64</v>
      </c>
      <c r="AB12" s="53">
        <v>29.117479208884301</v>
      </c>
      <c r="AC12" s="48" t="s">
        <v>64</v>
      </c>
      <c r="AD12" s="53">
        <v>29.2194631425069</v>
      </c>
      <c r="AE12" s="1"/>
      <c r="AF12" s="57" t="s">
        <v>59</v>
      </c>
      <c r="AG12" s="42" t="s">
        <v>62</v>
      </c>
      <c r="AH12" s="43">
        <f>AVERAGE(AB9:AB11)</f>
        <v>29.417221211156534</v>
      </c>
      <c r="AI12" s="303" t="s">
        <v>62</v>
      </c>
      <c r="AJ12" s="43">
        <f>AVERAGE(AD9:AD11)</f>
        <v>29.1042174468888</v>
      </c>
      <c r="AK12" s="1"/>
      <c r="AL12" s="1"/>
      <c r="AM12" s="45" t="s">
        <v>75</v>
      </c>
      <c r="AN12" s="216"/>
      <c r="AO12" s="217"/>
      <c r="AP12" s="216"/>
      <c r="AQ12" s="218"/>
      <c r="AR12" s="216"/>
      <c r="AS12" s="217"/>
      <c r="AT12" s="216"/>
      <c r="AU12" s="217"/>
      <c r="AV12" s="216"/>
      <c r="AW12" s="217"/>
      <c r="AX12" s="216"/>
      <c r="AY12" s="217"/>
      <c r="BA12" s="45" t="s">
        <v>75</v>
      </c>
      <c r="BB12" s="55" t="s">
        <v>62</v>
      </c>
      <c r="BC12" s="241"/>
      <c r="BD12" s="242"/>
      <c r="BE12" s="243"/>
      <c r="BF12" s="244"/>
      <c r="BG12" s="241"/>
      <c r="BH12" s="242"/>
      <c r="BI12" s="243"/>
      <c r="BJ12" s="244"/>
      <c r="BK12" s="243"/>
      <c r="BL12" s="244"/>
      <c r="BN12" s="251"/>
      <c r="BO12" s="252"/>
      <c r="BP12" s="251"/>
      <c r="BQ12" s="252"/>
      <c r="BR12" s="251"/>
      <c r="BS12" s="252"/>
      <c r="BT12" s="251"/>
      <c r="BU12" s="252"/>
      <c r="BV12" s="251"/>
      <c r="BW12" s="252"/>
      <c r="BY12" s="193" t="s">
        <v>75</v>
      </c>
      <c r="BZ12" s="241"/>
      <c r="CA12" s="244"/>
      <c r="CB12" s="241"/>
      <c r="CC12" s="244"/>
      <c r="CE12" s="193" t="s">
        <v>75</v>
      </c>
      <c r="CF12" s="97" t="s">
        <v>61</v>
      </c>
      <c r="CG12" s="280" t="s">
        <v>61</v>
      </c>
      <c r="CH12" s="244"/>
    </row>
    <row r="13" spans="2:86" ht="15.75" thickBot="1" x14ac:dyDescent="0.3">
      <c r="B13" s="357" t="s">
        <v>77</v>
      </c>
      <c r="C13" s="358"/>
      <c r="D13" s="358"/>
      <c r="E13" s="359"/>
      <c r="F13" s="355" t="s">
        <v>78</v>
      </c>
      <c r="G13" s="383"/>
      <c r="H13" s="383"/>
      <c r="I13" s="384"/>
      <c r="J13" s="29"/>
      <c r="K13" s="59" t="s">
        <v>79</v>
      </c>
      <c r="L13" s="60" t="s">
        <v>76</v>
      </c>
      <c r="M13" s="61" t="s">
        <v>60</v>
      </c>
      <c r="N13" s="62" t="s">
        <v>61</v>
      </c>
      <c r="O13" s="63" t="s">
        <v>61</v>
      </c>
      <c r="P13" s="64" t="s">
        <v>62</v>
      </c>
      <c r="Q13" s="65" t="s">
        <v>62</v>
      </c>
      <c r="R13" s="66" t="s">
        <v>62</v>
      </c>
      <c r="S13" s="67" t="s">
        <v>62</v>
      </c>
      <c r="T13" s="39" t="s">
        <v>60</v>
      </c>
      <c r="U13" s="62" t="s">
        <v>62</v>
      </c>
      <c r="V13" s="68" t="s">
        <v>62</v>
      </c>
      <c r="W13" s="178" t="s">
        <v>63</v>
      </c>
      <c r="X13" s="178" t="s">
        <v>63</v>
      </c>
      <c r="Z13" s="59" t="s">
        <v>79</v>
      </c>
      <c r="AA13" s="62" t="s">
        <v>64</v>
      </c>
      <c r="AB13" s="69">
        <v>29.236415579448</v>
      </c>
      <c r="AC13" s="62" t="s">
        <v>64</v>
      </c>
      <c r="AD13" s="69">
        <v>29.107745712787601</v>
      </c>
      <c r="AE13" s="1"/>
      <c r="AF13" s="70" t="s">
        <v>76</v>
      </c>
      <c r="AG13" s="183" t="s">
        <v>62</v>
      </c>
      <c r="AH13" s="72">
        <f>AVERAGE(AB12:AB13)</f>
        <v>29.176947394166149</v>
      </c>
      <c r="AI13" s="202" t="s">
        <v>62</v>
      </c>
      <c r="AJ13" s="72">
        <f>AVERAGE(AD12:AD13)</f>
        <v>29.16360442764725</v>
      </c>
      <c r="AK13" s="1"/>
      <c r="AL13" s="1"/>
      <c r="AM13" s="59" t="s">
        <v>79</v>
      </c>
      <c r="AN13" s="220"/>
      <c r="AO13" s="221"/>
      <c r="AP13" s="220"/>
      <c r="AQ13" s="222"/>
      <c r="AR13" s="220"/>
      <c r="AS13" s="221"/>
      <c r="AT13" s="220"/>
      <c r="AU13" s="221"/>
      <c r="AV13" s="220"/>
      <c r="AW13" s="221"/>
      <c r="AX13" s="220"/>
      <c r="AY13" s="221"/>
      <c r="BA13" s="59" t="s">
        <v>79</v>
      </c>
      <c r="BB13" s="191" t="s">
        <v>62</v>
      </c>
      <c r="BC13" s="245"/>
      <c r="BD13" s="246"/>
      <c r="BE13" s="247"/>
      <c r="BF13" s="248"/>
      <c r="BG13" s="245"/>
      <c r="BH13" s="246"/>
      <c r="BI13" s="247"/>
      <c r="BJ13" s="248"/>
      <c r="BK13" s="247"/>
      <c r="BL13" s="248"/>
      <c r="BN13" s="253"/>
      <c r="BO13" s="254"/>
      <c r="BP13" s="253"/>
      <c r="BQ13" s="254"/>
      <c r="BR13" s="253"/>
      <c r="BS13" s="254"/>
      <c r="BT13" s="253"/>
      <c r="BU13" s="254"/>
      <c r="BV13" s="253"/>
      <c r="BW13" s="254"/>
      <c r="BY13" s="194" t="s">
        <v>79</v>
      </c>
      <c r="BZ13" s="263"/>
      <c r="CA13" s="264"/>
      <c r="CB13" s="245"/>
      <c r="CC13" s="248"/>
      <c r="CE13" s="194" t="s">
        <v>79</v>
      </c>
      <c r="CF13" s="71" t="s">
        <v>61</v>
      </c>
      <c r="CG13" s="120" t="s">
        <v>61</v>
      </c>
      <c r="CH13" s="264"/>
    </row>
    <row r="14" spans="2:86" ht="15.75" thickBot="1" x14ac:dyDescent="0.3">
      <c r="B14" s="369" t="s">
        <v>80</v>
      </c>
      <c r="C14" s="370"/>
      <c r="D14" s="370"/>
      <c r="E14" s="370"/>
      <c r="F14" s="371" t="s">
        <v>81</v>
      </c>
      <c r="G14" s="371"/>
      <c r="H14" s="371"/>
      <c r="I14" s="372"/>
      <c r="J14" s="29"/>
      <c r="K14" s="30" t="s">
        <v>82</v>
      </c>
      <c r="L14" s="31" t="s">
        <v>59</v>
      </c>
      <c r="M14" s="32" t="s">
        <v>226</v>
      </c>
      <c r="N14" s="33" t="s">
        <v>83</v>
      </c>
      <c r="O14" s="34" t="s">
        <v>83</v>
      </c>
      <c r="P14" s="34" t="s">
        <v>83</v>
      </c>
      <c r="Q14" s="36" t="s">
        <v>83</v>
      </c>
      <c r="R14" s="33" t="s">
        <v>61</v>
      </c>
      <c r="S14" s="327" t="s">
        <v>84</v>
      </c>
      <c r="T14" s="36" t="s">
        <v>85</v>
      </c>
      <c r="U14" s="33" t="s">
        <v>62</v>
      </c>
      <c r="V14" s="40" t="s">
        <v>62</v>
      </c>
      <c r="W14" s="176" t="s">
        <v>86</v>
      </c>
      <c r="X14" s="176" t="s">
        <v>86</v>
      </c>
      <c r="Z14" s="30" t="s">
        <v>82</v>
      </c>
      <c r="AA14" s="233">
        <v>19.260711214004299</v>
      </c>
      <c r="AB14" s="41">
        <v>29.671684091023099</v>
      </c>
      <c r="AC14" s="233">
        <v>17.715861024482599</v>
      </c>
      <c r="AD14" s="41">
        <v>30.963088423085299</v>
      </c>
      <c r="AE14" s="1"/>
      <c r="AG14" s="1"/>
      <c r="AH14" s="1"/>
      <c r="AI14" s="1"/>
      <c r="AJ14" s="1"/>
      <c r="AK14" s="1"/>
      <c r="AL14" s="1"/>
      <c r="AM14" s="30" t="s">
        <v>82</v>
      </c>
      <c r="AN14" s="228">
        <v>16.47</v>
      </c>
      <c r="AO14" s="43">
        <v>29.04</v>
      </c>
      <c r="AP14" s="228">
        <v>16.079999999999998</v>
      </c>
      <c r="AQ14" s="43">
        <v>29.44</v>
      </c>
      <c r="AR14" s="255"/>
      <c r="AS14" s="256"/>
      <c r="AT14" s="257"/>
      <c r="AU14" s="213"/>
      <c r="AV14" s="257"/>
      <c r="AW14" s="213"/>
      <c r="AX14" s="257"/>
      <c r="AY14" s="213"/>
      <c r="BA14" s="30" t="s">
        <v>82</v>
      </c>
      <c r="BB14" s="74">
        <v>1</v>
      </c>
      <c r="BC14" s="288">
        <v>16.04</v>
      </c>
      <c r="BD14" s="292">
        <v>30.41</v>
      </c>
      <c r="BE14" s="288">
        <v>14.77</v>
      </c>
      <c r="BF14" s="292">
        <v>30.25</v>
      </c>
      <c r="BG14" s="290">
        <v>15.38</v>
      </c>
      <c r="BH14" s="292">
        <v>30.43</v>
      </c>
      <c r="BI14" s="290">
        <v>15.51</v>
      </c>
      <c r="BJ14" s="292">
        <v>29.99</v>
      </c>
      <c r="BK14" s="290">
        <v>15.64</v>
      </c>
      <c r="BL14" s="292">
        <v>30.58</v>
      </c>
      <c r="BN14" s="249"/>
      <c r="BO14" s="250"/>
      <c r="BP14" s="249"/>
      <c r="BQ14" s="250"/>
      <c r="BR14" s="249"/>
      <c r="BS14" s="250"/>
      <c r="BT14" s="249"/>
      <c r="BU14" s="250"/>
      <c r="BV14" s="249"/>
      <c r="BW14" s="250"/>
      <c r="BY14" s="192" t="s">
        <v>82</v>
      </c>
      <c r="BZ14" s="195">
        <v>1</v>
      </c>
      <c r="CA14" s="196">
        <v>1</v>
      </c>
      <c r="CB14" s="197" t="s">
        <v>64</v>
      </c>
      <c r="CC14" s="43">
        <v>29.6644495374914</v>
      </c>
      <c r="CE14" s="192" t="s">
        <v>82</v>
      </c>
      <c r="CF14" s="195">
        <v>1</v>
      </c>
      <c r="CG14" s="323">
        <v>1</v>
      </c>
      <c r="CH14" s="312" t="s">
        <v>87</v>
      </c>
    </row>
    <row r="15" spans="2:86" ht="15.75" thickBot="1" x14ac:dyDescent="0.3">
      <c r="B15" s="75"/>
      <c r="C15" s="75"/>
      <c r="D15" s="75"/>
      <c r="E15" s="76"/>
      <c r="F15" s="76"/>
      <c r="G15" s="76"/>
      <c r="H15" s="76"/>
      <c r="I15" s="76"/>
      <c r="J15" s="29"/>
      <c r="K15" s="45" t="s">
        <v>88</v>
      </c>
      <c r="L15" s="46" t="s">
        <v>59</v>
      </c>
      <c r="M15" s="47" t="s">
        <v>226</v>
      </c>
      <c r="N15" s="48" t="s">
        <v>83</v>
      </c>
      <c r="O15" s="49" t="s">
        <v>83</v>
      </c>
      <c r="P15" s="49" t="s">
        <v>83</v>
      </c>
      <c r="Q15" s="51" t="s">
        <v>83</v>
      </c>
      <c r="R15" s="48" t="s">
        <v>61</v>
      </c>
      <c r="S15" s="328" t="s">
        <v>84</v>
      </c>
      <c r="T15" s="51" t="s">
        <v>85</v>
      </c>
      <c r="U15" s="48" t="s">
        <v>62</v>
      </c>
      <c r="V15" s="52" t="s">
        <v>62</v>
      </c>
      <c r="W15" s="177" t="s">
        <v>86</v>
      </c>
      <c r="X15" s="177" t="s">
        <v>86</v>
      </c>
      <c r="Z15" s="45" t="s">
        <v>88</v>
      </c>
      <c r="AA15" s="234">
        <v>18.221374323584499</v>
      </c>
      <c r="AB15" s="53">
        <v>29.544429689374901</v>
      </c>
      <c r="AC15" s="234">
        <v>16.861307765298498</v>
      </c>
      <c r="AD15" s="53">
        <v>32.339357585566098</v>
      </c>
      <c r="AE15" s="1"/>
      <c r="AG15" s="1"/>
      <c r="AH15" s="1"/>
      <c r="AI15" s="1"/>
      <c r="AJ15" s="1"/>
      <c r="AK15" s="1"/>
      <c r="AL15" s="1"/>
      <c r="AM15" s="45" t="s">
        <v>88</v>
      </c>
      <c r="AN15" s="229">
        <v>16.73</v>
      </c>
      <c r="AO15" s="54">
        <v>29.32</v>
      </c>
      <c r="AP15" s="229">
        <v>16.239999999999998</v>
      </c>
      <c r="AQ15" s="54">
        <v>29.12</v>
      </c>
      <c r="AR15" s="216"/>
      <c r="AS15" s="217"/>
      <c r="AT15" s="216"/>
      <c r="AU15" s="217"/>
      <c r="AV15" s="216"/>
      <c r="AW15" s="217"/>
      <c r="AX15" s="216"/>
      <c r="AY15" s="217"/>
      <c r="BA15" s="45" t="s">
        <v>88</v>
      </c>
      <c r="BB15" s="55">
        <v>1</v>
      </c>
      <c r="BC15" s="289">
        <v>15.82</v>
      </c>
      <c r="BD15" s="293">
        <v>29.81</v>
      </c>
      <c r="BE15" s="289">
        <v>17.14</v>
      </c>
      <c r="BF15" s="293">
        <v>30.06</v>
      </c>
      <c r="BG15" s="291">
        <v>18.22</v>
      </c>
      <c r="BH15" s="293">
        <v>29.1</v>
      </c>
      <c r="BI15" s="291">
        <v>15.74</v>
      </c>
      <c r="BJ15" s="293">
        <v>29.15</v>
      </c>
      <c r="BK15" s="291">
        <v>15.7</v>
      </c>
      <c r="BL15" s="293">
        <v>29.57</v>
      </c>
      <c r="BN15" s="251"/>
      <c r="BO15" s="252"/>
      <c r="BP15" s="251"/>
      <c r="BQ15" s="252"/>
      <c r="BR15" s="251"/>
      <c r="BS15" s="252"/>
      <c r="BT15" s="251"/>
      <c r="BU15" s="252"/>
      <c r="BV15" s="251"/>
      <c r="BW15" s="252"/>
      <c r="BY15" s="193" t="s">
        <v>88</v>
      </c>
      <c r="BZ15" s="198">
        <v>1</v>
      </c>
      <c r="CA15" s="199">
        <v>1</v>
      </c>
      <c r="CB15" s="200" t="s">
        <v>64</v>
      </c>
      <c r="CC15" s="54">
        <v>29.708891648691399</v>
      </c>
      <c r="CE15" s="193" t="s">
        <v>88</v>
      </c>
      <c r="CF15" s="198">
        <v>1</v>
      </c>
      <c r="CG15" s="317">
        <v>1</v>
      </c>
      <c r="CH15" s="314" t="s">
        <v>87</v>
      </c>
    </row>
    <row r="16" spans="2:86" ht="15.75" thickBot="1" x14ac:dyDescent="0.3">
      <c r="B16" s="385" t="s">
        <v>89</v>
      </c>
      <c r="C16" s="386"/>
      <c r="D16" s="386"/>
      <c r="E16" s="386"/>
      <c r="F16" s="386"/>
      <c r="G16" s="386"/>
      <c r="H16" s="386"/>
      <c r="I16" s="387"/>
      <c r="J16" s="29"/>
      <c r="K16" s="45" t="s">
        <v>90</v>
      </c>
      <c r="L16" s="46" t="s">
        <v>59</v>
      </c>
      <c r="M16" s="47" t="s">
        <v>226</v>
      </c>
      <c r="N16" s="48" t="s">
        <v>83</v>
      </c>
      <c r="O16" s="49" t="s">
        <v>83</v>
      </c>
      <c r="P16" s="49" t="s">
        <v>83</v>
      </c>
      <c r="Q16" s="51" t="s">
        <v>83</v>
      </c>
      <c r="R16" s="48" t="s">
        <v>61</v>
      </c>
      <c r="S16" s="328" t="s">
        <v>84</v>
      </c>
      <c r="T16" s="51" t="s">
        <v>85</v>
      </c>
      <c r="U16" s="48" t="s">
        <v>62</v>
      </c>
      <c r="V16" s="52" t="s">
        <v>62</v>
      </c>
      <c r="W16" s="177" t="s">
        <v>86</v>
      </c>
      <c r="X16" s="177" t="s">
        <v>86</v>
      </c>
      <c r="Z16" s="45" t="s">
        <v>90</v>
      </c>
      <c r="AA16" s="234">
        <v>19.447276752651099</v>
      </c>
      <c r="AB16" s="53">
        <v>29.163489086477099</v>
      </c>
      <c r="AC16" s="234">
        <v>22.491463432255099</v>
      </c>
      <c r="AD16" s="53">
        <v>29.369089737682</v>
      </c>
      <c r="AE16" s="1"/>
      <c r="AK16" s="1"/>
      <c r="AL16" s="1"/>
      <c r="AM16" s="45" t="s">
        <v>90</v>
      </c>
      <c r="AN16" s="229">
        <v>16.100000000000001</v>
      </c>
      <c r="AO16" s="54">
        <v>28.92</v>
      </c>
      <c r="AP16" s="229">
        <v>16.29</v>
      </c>
      <c r="AQ16" s="54">
        <v>29.03</v>
      </c>
      <c r="AR16" s="216"/>
      <c r="AS16" s="217"/>
      <c r="AT16" s="216"/>
      <c r="AU16" s="217"/>
      <c r="AV16" s="216"/>
      <c r="AW16" s="217"/>
      <c r="AX16" s="216"/>
      <c r="AY16" s="217"/>
      <c r="BA16" s="45" t="s">
        <v>90</v>
      </c>
      <c r="BB16" s="55">
        <v>1</v>
      </c>
      <c r="BC16" s="289">
        <v>14.78</v>
      </c>
      <c r="BD16" s="293">
        <v>30.25</v>
      </c>
      <c r="BE16" s="289">
        <v>15.24</v>
      </c>
      <c r="BF16" s="293">
        <v>30.77</v>
      </c>
      <c r="BG16" s="291">
        <v>14.85</v>
      </c>
      <c r="BH16" s="293">
        <v>31.39</v>
      </c>
      <c r="BI16" s="291">
        <v>15.44</v>
      </c>
      <c r="BJ16" s="293">
        <v>30.64</v>
      </c>
      <c r="BK16" s="291">
        <v>14.86</v>
      </c>
      <c r="BL16" s="293">
        <v>30.43</v>
      </c>
      <c r="BN16" s="251"/>
      <c r="BO16" s="252"/>
      <c r="BP16" s="251"/>
      <c r="BQ16" s="252"/>
      <c r="BR16" s="251"/>
      <c r="BS16" s="252"/>
      <c r="BT16" s="251"/>
      <c r="BU16" s="252"/>
      <c r="BV16" s="251"/>
      <c r="BW16" s="252"/>
      <c r="BY16" s="193" t="s">
        <v>90</v>
      </c>
      <c r="BZ16" s="198">
        <v>1</v>
      </c>
      <c r="CA16" s="199">
        <v>1</v>
      </c>
      <c r="CB16" s="200" t="s">
        <v>64</v>
      </c>
      <c r="CC16" s="54">
        <v>29.687297439978199</v>
      </c>
      <c r="CE16" s="193" t="s">
        <v>90</v>
      </c>
      <c r="CF16" s="198">
        <v>1</v>
      </c>
      <c r="CG16" s="317">
        <v>1</v>
      </c>
      <c r="CH16" s="314" t="s">
        <v>87</v>
      </c>
    </row>
    <row r="17" spans="2:86" x14ac:dyDescent="0.25">
      <c r="B17" s="388" t="s">
        <v>91</v>
      </c>
      <c r="C17" s="389"/>
      <c r="D17" s="389"/>
      <c r="E17" s="389"/>
      <c r="F17" s="390" t="s">
        <v>92</v>
      </c>
      <c r="G17" s="390"/>
      <c r="H17" s="390"/>
      <c r="I17" s="391"/>
      <c r="J17" s="29"/>
      <c r="K17" s="45" t="s">
        <v>93</v>
      </c>
      <c r="L17" s="46" t="s">
        <v>59</v>
      </c>
      <c r="M17" s="47" t="s">
        <v>226</v>
      </c>
      <c r="N17" s="48" t="s">
        <v>83</v>
      </c>
      <c r="O17" s="49" t="s">
        <v>83</v>
      </c>
      <c r="P17" s="49" t="s">
        <v>83</v>
      </c>
      <c r="Q17" s="51" t="s">
        <v>83</v>
      </c>
      <c r="R17" s="48" t="s">
        <v>61</v>
      </c>
      <c r="S17" s="328" t="s">
        <v>84</v>
      </c>
      <c r="T17" s="51" t="s">
        <v>85</v>
      </c>
      <c r="U17" s="48" t="s">
        <v>62</v>
      </c>
      <c r="V17" s="52" t="s">
        <v>62</v>
      </c>
      <c r="W17" s="177" t="s">
        <v>86</v>
      </c>
      <c r="X17" s="177" t="s">
        <v>86</v>
      </c>
      <c r="Z17" s="45" t="s">
        <v>93</v>
      </c>
      <c r="AA17" s="234">
        <v>19.3975211796518</v>
      </c>
      <c r="AB17" s="53">
        <v>29.017223007802901</v>
      </c>
      <c r="AC17" s="234">
        <v>16.931733893670401</v>
      </c>
      <c r="AD17" s="53">
        <v>30.776414341456299</v>
      </c>
      <c r="AE17" s="1"/>
      <c r="AK17" s="1"/>
      <c r="AL17" s="1"/>
      <c r="AM17" s="45" t="s">
        <v>93</v>
      </c>
      <c r="AN17" s="229">
        <v>16.399999999999999</v>
      </c>
      <c r="AO17" s="54">
        <v>28.83</v>
      </c>
      <c r="AP17" s="229">
        <v>16.59</v>
      </c>
      <c r="AQ17" s="54">
        <v>29.02</v>
      </c>
      <c r="AR17" s="216"/>
      <c r="AS17" s="217"/>
      <c r="AT17" s="216"/>
      <c r="AU17" s="217"/>
      <c r="AV17" s="216"/>
      <c r="AW17" s="217"/>
      <c r="AX17" s="216"/>
      <c r="AY17" s="217"/>
      <c r="BA17" s="45" t="s">
        <v>93</v>
      </c>
      <c r="BB17" s="55">
        <v>1</v>
      </c>
      <c r="BC17" s="289">
        <v>15.62</v>
      </c>
      <c r="BD17" s="293">
        <v>30.53</v>
      </c>
      <c r="BE17" s="289">
        <v>15.2</v>
      </c>
      <c r="BF17" s="293">
        <v>31.17</v>
      </c>
      <c r="BG17" s="291">
        <v>15.23</v>
      </c>
      <c r="BH17" s="293">
        <v>30.17</v>
      </c>
      <c r="BI17" s="291">
        <v>15.09</v>
      </c>
      <c r="BJ17" s="293">
        <v>30.43</v>
      </c>
      <c r="BK17" s="291">
        <v>15.21</v>
      </c>
      <c r="BL17" s="293">
        <v>30.44</v>
      </c>
      <c r="BN17" s="251"/>
      <c r="BO17" s="252"/>
      <c r="BP17" s="251"/>
      <c r="BQ17" s="252"/>
      <c r="BR17" s="251"/>
      <c r="BS17" s="252"/>
      <c r="BT17" s="251"/>
      <c r="BU17" s="252"/>
      <c r="BV17" s="251"/>
      <c r="BW17" s="252"/>
      <c r="BY17" s="193" t="s">
        <v>93</v>
      </c>
      <c r="BZ17" s="198">
        <v>1</v>
      </c>
      <c r="CA17" s="199">
        <v>1</v>
      </c>
      <c r="CB17" s="200" t="s">
        <v>64</v>
      </c>
      <c r="CC17" s="54">
        <v>29.824708386478498</v>
      </c>
      <c r="CE17" s="193" t="s">
        <v>93</v>
      </c>
      <c r="CF17" s="198">
        <v>1</v>
      </c>
      <c r="CG17" s="317">
        <v>1</v>
      </c>
      <c r="CH17" s="314" t="s">
        <v>87</v>
      </c>
    </row>
    <row r="18" spans="2:86" x14ac:dyDescent="0.25">
      <c r="B18" s="357" t="s">
        <v>94</v>
      </c>
      <c r="C18" s="358"/>
      <c r="D18" s="358"/>
      <c r="E18" s="359"/>
      <c r="F18" s="363" t="s">
        <v>95</v>
      </c>
      <c r="G18" s="364"/>
      <c r="H18" s="364"/>
      <c r="I18" s="365"/>
      <c r="J18" s="29"/>
      <c r="K18" s="45" t="s">
        <v>96</v>
      </c>
      <c r="L18" s="46" t="s">
        <v>59</v>
      </c>
      <c r="M18" s="47" t="s">
        <v>226</v>
      </c>
      <c r="N18" s="48" t="s">
        <v>83</v>
      </c>
      <c r="O18" s="49" t="s">
        <v>83</v>
      </c>
      <c r="P18" s="49" t="s">
        <v>83</v>
      </c>
      <c r="Q18" s="51" t="s">
        <v>83</v>
      </c>
      <c r="R18" s="48" t="s">
        <v>61</v>
      </c>
      <c r="S18" s="328" t="s">
        <v>84</v>
      </c>
      <c r="T18" s="51" t="s">
        <v>85</v>
      </c>
      <c r="U18" s="48" t="s">
        <v>62</v>
      </c>
      <c r="V18" s="52" t="s">
        <v>62</v>
      </c>
      <c r="W18" s="177" t="s">
        <v>86</v>
      </c>
      <c r="X18" s="177" t="s">
        <v>86</v>
      </c>
      <c r="Z18" s="45" t="s">
        <v>96</v>
      </c>
      <c r="AA18" s="234">
        <v>19.743042521854399</v>
      </c>
      <c r="AB18" s="53">
        <v>29.073925489975199</v>
      </c>
      <c r="AC18" s="234">
        <v>22.627784122645298</v>
      </c>
      <c r="AD18" s="53">
        <v>29.125467846318099</v>
      </c>
      <c r="AE18" s="1"/>
      <c r="AI18" s="1"/>
      <c r="AJ18" s="1"/>
      <c r="AK18" s="1"/>
      <c r="AL18" s="1"/>
      <c r="AM18" s="45" t="s">
        <v>96</v>
      </c>
      <c r="AN18" s="229">
        <v>16.149999999999999</v>
      </c>
      <c r="AO18" s="54">
        <v>28.5</v>
      </c>
      <c r="AP18" s="229">
        <v>16.579999999999998</v>
      </c>
      <c r="AQ18" s="54">
        <v>28.7</v>
      </c>
      <c r="AR18" s="216"/>
      <c r="AS18" s="217"/>
      <c r="AT18" s="216"/>
      <c r="AU18" s="217"/>
      <c r="AV18" s="216"/>
      <c r="AW18" s="217"/>
      <c r="AX18" s="216"/>
      <c r="AY18" s="217"/>
      <c r="BA18" s="45" t="s">
        <v>96</v>
      </c>
      <c r="BB18" s="55">
        <v>1</v>
      </c>
      <c r="BC18" s="289">
        <v>15.23</v>
      </c>
      <c r="BD18" s="293">
        <v>30.19</v>
      </c>
      <c r="BE18" s="289">
        <v>16.22</v>
      </c>
      <c r="BF18" s="293">
        <v>30.09</v>
      </c>
      <c r="BG18" s="291">
        <v>15.59</v>
      </c>
      <c r="BH18" s="293">
        <v>30.29</v>
      </c>
      <c r="BI18" s="291">
        <v>15.44</v>
      </c>
      <c r="BJ18" s="293">
        <v>30.8</v>
      </c>
      <c r="BK18" s="291">
        <v>14.82</v>
      </c>
      <c r="BL18" s="293">
        <v>30.58</v>
      </c>
      <c r="BN18" s="251"/>
      <c r="BO18" s="252"/>
      <c r="BP18" s="251"/>
      <c r="BQ18" s="252"/>
      <c r="BR18" s="251"/>
      <c r="BS18" s="252"/>
      <c r="BT18" s="251"/>
      <c r="BU18" s="252"/>
      <c r="BV18" s="251"/>
      <c r="BW18" s="252"/>
      <c r="BY18" s="193" t="s">
        <v>96</v>
      </c>
      <c r="BZ18" s="198">
        <v>1</v>
      </c>
      <c r="CA18" s="199">
        <v>1</v>
      </c>
      <c r="CB18" s="200" t="s">
        <v>64</v>
      </c>
      <c r="CC18" s="54">
        <v>29.614408392072299</v>
      </c>
      <c r="CE18" s="193" t="s">
        <v>96</v>
      </c>
      <c r="CF18" s="198">
        <v>1</v>
      </c>
      <c r="CG18" s="317">
        <v>1</v>
      </c>
      <c r="CH18" s="314" t="s">
        <v>87</v>
      </c>
    </row>
    <row r="19" spans="2:86" x14ac:dyDescent="0.25">
      <c r="B19" s="353" t="s">
        <v>97</v>
      </c>
      <c r="C19" s="354"/>
      <c r="D19" s="354"/>
      <c r="E19" s="354"/>
      <c r="F19" s="355" t="s">
        <v>98</v>
      </c>
      <c r="G19" s="355"/>
      <c r="H19" s="355"/>
      <c r="I19" s="356"/>
      <c r="J19" s="29"/>
      <c r="K19" s="78" t="s">
        <v>99</v>
      </c>
      <c r="L19" s="46" t="s">
        <v>59</v>
      </c>
      <c r="M19" s="47" t="s">
        <v>226</v>
      </c>
      <c r="N19" s="48" t="s">
        <v>61</v>
      </c>
      <c r="O19" s="49" t="s">
        <v>61</v>
      </c>
      <c r="P19" s="49" t="s">
        <v>61</v>
      </c>
      <c r="Q19" s="51" t="s">
        <v>62</v>
      </c>
      <c r="R19" s="48" t="s">
        <v>62</v>
      </c>
      <c r="S19" s="50" t="s">
        <v>62</v>
      </c>
      <c r="T19" s="51" t="s">
        <v>60</v>
      </c>
      <c r="U19" s="48" t="s">
        <v>62</v>
      </c>
      <c r="V19" s="52" t="s">
        <v>62</v>
      </c>
      <c r="W19" s="177" t="s">
        <v>63</v>
      </c>
      <c r="X19" s="177" t="s">
        <v>63</v>
      </c>
      <c r="Z19" s="78" t="s">
        <v>99</v>
      </c>
      <c r="AA19" s="77" t="s">
        <v>64</v>
      </c>
      <c r="AB19" s="53">
        <v>29.244374295631701</v>
      </c>
      <c r="AC19" s="77" t="s">
        <v>64</v>
      </c>
      <c r="AD19" s="53">
        <v>29.1344471333718</v>
      </c>
      <c r="AE19" s="1"/>
      <c r="AI19" s="1"/>
      <c r="AJ19" s="1"/>
      <c r="AK19" s="1"/>
      <c r="AL19" s="1"/>
      <c r="AM19" s="78" t="s">
        <v>99</v>
      </c>
      <c r="AN19" s="182" t="s">
        <v>64</v>
      </c>
      <c r="AO19" s="185">
        <v>27.82</v>
      </c>
      <c r="AP19" s="182" t="s">
        <v>64</v>
      </c>
      <c r="AQ19" s="185">
        <v>27.92</v>
      </c>
      <c r="AR19" s="216"/>
      <c r="AS19" s="217"/>
      <c r="AT19" s="216"/>
      <c r="AU19" s="217"/>
      <c r="AV19" s="216"/>
      <c r="AW19" s="217"/>
      <c r="AX19" s="216"/>
      <c r="AY19" s="217"/>
      <c r="BA19" s="78" t="s">
        <v>99</v>
      </c>
      <c r="BB19" s="55" t="s">
        <v>62</v>
      </c>
      <c r="BC19" s="265"/>
      <c r="BD19" s="294"/>
      <c r="BE19" s="265"/>
      <c r="BF19" s="294"/>
      <c r="BG19" s="223"/>
      <c r="BH19" s="294"/>
      <c r="BI19" s="223"/>
      <c r="BJ19" s="294"/>
      <c r="BK19" s="223"/>
      <c r="BL19" s="294"/>
      <c r="BN19" s="251"/>
      <c r="BO19" s="252"/>
      <c r="BP19" s="251"/>
      <c r="BQ19" s="252"/>
      <c r="BR19" s="251"/>
      <c r="BS19" s="252"/>
      <c r="BT19" s="251"/>
      <c r="BU19" s="252"/>
      <c r="BV19" s="251"/>
      <c r="BW19" s="252"/>
      <c r="BY19" s="201" t="s">
        <v>99</v>
      </c>
      <c r="BZ19" s="271"/>
      <c r="CA19" s="272"/>
      <c r="CB19" s="273"/>
      <c r="CC19" s="217"/>
      <c r="CE19" s="193" t="s">
        <v>99</v>
      </c>
      <c r="CF19" s="198" t="s">
        <v>61</v>
      </c>
      <c r="CG19" s="317" t="s">
        <v>61</v>
      </c>
      <c r="CH19" s="313"/>
    </row>
    <row r="20" spans="2:86" x14ac:dyDescent="0.25">
      <c r="B20" s="353" t="s">
        <v>100</v>
      </c>
      <c r="C20" s="354"/>
      <c r="D20" s="354"/>
      <c r="E20" s="354"/>
      <c r="F20" s="363" t="s">
        <v>101</v>
      </c>
      <c r="G20" s="364"/>
      <c r="H20" s="364"/>
      <c r="I20" s="365"/>
      <c r="J20" s="29"/>
      <c r="K20" s="45" t="s">
        <v>102</v>
      </c>
      <c r="L20" s="46" t="s">
        <v>59</v>
      </c>
      <c r="M20" s="47" t="s">
        <v>226</v>
      </c>
      <c r="N20" s="48" t="s">
        <v>83</v>
      </c>
      <c r="O20" s="49" t="s">
        <v>83</v>
      </c>
      <c r="P20" s="49" t="s">
        <v>83</v>
      </c>
      <c r="Q20" s="51" t="s">
        <v>83</v>
      </c>
      <c r="R20" s="48" t="s">
        <v>61</v>
      </c>
      <c r="S20" s="328" t="s">
        <v>84</v>
      </c>
      <c r="T20" s="51" t="s">
        <v>85</v>
      </c>
      <c r="U20" s="48" t="s">
        <v>62</v>
      </c>
      <c r="V20" s="52" t="s">
        <v>62</v>
      </c>
      <c r="W20" s="177" t="s">
        <v>86</v>
      </c>
      <c r="X20" s="177" t="s">
        <v>86</v>
      </c>
      <c r="Z20" s="45" t="s">
        <v>102</v>
      </c>
      <c r="AA20" s="234">
        <v>18.845941773964601</v>
      </c>
      <c r="AB20" s="53">
        <v>29.102886980100799</v>
      </c>
      <c r="AC20" s="234">
        <v>18.104573740301099</v>
      </c>
      <c r="AD20" s="53">
        <v>32.003009259386999</v>
      </c>
      <c r="AE20" s="1"/>
      <c r="AI20" s="1"/>
      <c r="AJ20" s="1"/>
      <c r="AK20" s="1"/>
      <c r="AL20" s="1"/>
      <c r="AM20" s="45" t="s">
        <v>102</v>
      </c>
      <c r="AN20" s="229">
        <v>16.079999999999998</v>
      </c>
      <c r="AO20" s="185">
        <v>28.73</v>
      </c>
      <c r="AP20" s="229">
        <v>15.89</v>
      </c>
      <c r="AQ20" s="185">
        <v>29.09</v>
      </c>
      <c r="AR20" s="216"/>
      <c r="AS20" s="217"/>
      <c r="AT20" s="216"/>
      <c r="AU20" s="217"/>
      <c r="AV20" s="216"/>
      <c r="AW20" s="217"/>
      <c r="AX20" s="216"/>
      <c r="AY20" s="217"/>
      <c r="BA20" s="45" t="s">
        <v>102</v>
      </c>
      <c r="BB20" s="55">
        <v>1</v>
      </c>
      <c r="BC20" s="289">
        <v>16.23</v>
      </c>
      <c r="BD20" s="293">
        <v>29.49</v>
      </c>
      <c r="BE20" s="289">
        <v>15.95</v>
      </c>
      <c r="BF20" s="293">
        <v>29.34</v>
      </c>
      <c r="BG20" s="291">
        <v>15.15</v>
      </c>
      <c r="BH20" s="293">
        <v>30.4</v>
      </c>
      <c r="BI20" s="291">
        <v>15.18</v>
      </c>
      <c r="BJ20" s="293">
        <v>30.76</v>
      </c>
      <c r="BK20" s="291">
        <v>15.35</v>
      </c>
      <c r="BL20" s="293">
        <v>30.58</v>
      </c>
      <c r="BN20" s="251"/>
      <c r="BO20" s="252"/>
      <c r="BP20" s="251"/>
      <c r="BQ20" s="252"/>
      <c r="BR20" s="251"/>
      <c r="BS20" s="252"/>
      <c r="BT20" s="251"/>
      <c r="BU20" s="252"/>
      <c r="BV20" s="251"/>
      <c r="BW20" s="252"/>
      <c r="BY20" s="193" t="s">
        <v>102</v>
      </c>
      <c r="BZ20" s="198">
        <v>1</v>
      </c>
      <c r="CA20" s="199">
        <v>1</v>
      </c>
      <c r="CB20" s="200" t="s">
        <v>64</v>
      </c>
      <c r="CC20" s="54">
        <v>29.821807430531699</v>
      </c>
      <c r="CE20" s="193" t="s">
        <v>102</v>
      </c>
      <c r="CF20" s="198">
        <v>1</v>
      </c>
      <c r="CG20" s="317">
        <v>1</v>
      </c>
      <c r="CH20" s="314" t="s">
        <v>87</v>
      </c>
    </row>
    <row r="21" spans="2:86" ht="15.75" thickBot="1" x14ac:dyDescent="0.3">
      <c r="B21" s="369" t="s">
        <v>103</v>
      </c>
      <c r="C21" s="370"/>
      <c r="D21" s="370"/>
      <c r="E21" s="370"/>
      <c r="F21" s="371" t="s">
        <v>104</v>
      </c>
      <c r="G21" s="371"/>
      <c r="H21" s="371"/>
      <c r="I21" s="372"/>
      <c r="J21" s="29"/>
      <c r="K21" s="45" t="s">
        <v>105</v>
      </c>
      <c r="L21" s="46" t="s">
        <v>59</v>
      </c>
      <c r="M21" s="47" t="s">
        <v>226</v>
      </c>
      <c r="N21" s="48" t="s">
        <v>61</v>
      </c>
      <c r="O21" s="49" t="s">
        <v>61</v>
      </c>
      <c r="P21" s="49" t="s">
        <v>62</v>
      </c>
      <c r="Q21" s="51" t="s">
        <v>62</v>
      </c>
      <c r="R21" s="48" t="s">
        <v>62</v>
      </c>
      <c r="S21" s="50" t="s">
        <v>62</v>
      </c>
      <c r="T21" s="51" t="s">
        <v>60</v>
      </c>
      <c r="U21" s="48" t="s">
        <v>62</v>
      </c>
      <c r="V21" s="52" t="s">
        <v>62</v>
      </c>
      <c r="W21" s="177" t="s">
        <v>63</v>
      </c>
      <c r="X21" s="177" t="s">
        <v>63</v>
      </c>
      <c r="Z21" s="45" t="s">
        <v>105</v>
      </c>
      <c r="AA21" s="77" t="s">
        <v>64</v>
      </c>
      <c r="AB21" s="53">
        <v>29.2209856488188</v>
      </c>
      <c r="AC21" s="77" t="s">
        <v>64</v>
      </c>
      <c r="AD21" s="53">
        <v>29.0961996771644</v>
      </c>
      <c r="AE21" s="1"/>
      <c r="AI21" s="1"/>
      <c r="AJ21" s="1"/>
      <c r="AK21" s="1"/>
      <c r="AL21" s="1"/>
      <c r="AM21" s="45" t="s">
        <v>105</v>
      </c>
      <c r="AN21" s="216"/>
      <c r="AO21" s="223"/>
      <c r="AP21" s="216"/>
      <c r="AQ21" s="223"/>
      <c r="AR21" s="216"/>
      <c r="AS21" s="217"/>
      <c r="AT21" s="216"/>
      <c r="AU21" s="217"/>
      <c r="AV21" s="216"/>
      <c r="AW21" s="217"/>
      <c r="AX21" s="216"/>
      <c r="AY21" s="217"/>
      <c r="BA21" s="45" t="s">
        <v>105</v>
      </c>
      <c r="BB21" s="55" t="s">
        <v>62</v>
      </c>
      <c r="BC21" s="265"/>
      <c r="BD21" s="294"/>
      <c r="BE21" s="265"/>
      <c r="BF21" s="294"/>
      <c r="BG21" s="223"/>
      <c r="BH21" s="294"/>
      <c r="BI21" s="223"/>
      <c r="BJ21" s="294"/>
      <c r="BK21" s="223"/>
      <c r="BL21" s="294"/>
      <c r="BN21" s="251"/>
      <c r="BO21" s="252"/>
      <c r="BP21" s="251"/>
      <c r="BQ21" s="252"/>
      <c r="BR21" s="251"/>
      <c r="BS21" s="252"/>
      <c r="BT21" s="251"/>
      <c r="BU21" s="252"/>
      <c r="BV21" s="251"/>
      <c r="BW21" s="252"/>
      <c r="BY21" s="193" t="s">
        <v>105</v>
      </c>
      <c r="BZ21" s="271"/>
      <c r="CA21" s="272"/>
      <c r="CB21" s="273"/>
      <c r="CC21" s="217"/>
      <c r="CE21" s="193" t="s">
        <v>105</v>
      </c>
      <c r="CF21" s="198" t="s">
        <v>61</v>
      </c>
      <c r="CG21" s="317" t="s">
        <v>61</v>
      </c>
      <c r="CH21" s="313"/>
    </row>
    <row r="22" spans="2:86" ht="15.75" thickBot="1" x14ac:dyDescent="0.3">
      <c r="B22" s="79"/>
      <c r="C22" s="79"/>
      <c r="D22" s="79"/>
      <c r="E22" s="79"/>
      <c r="F22" s="80"/>
      <c r="G22" s="79"/>
      <c r="H22" s="76"/>
      <c r="I22" s="75"/>
      <c r="J22" s="29"/>
      <c r="K22" s="45" t="s">
        <v>106</v>
      </c>
      <c r="L22" s="46" t="s">
        <v>59</v>
      </c>
      <c r="M22" s="47" t="s">
        <v>226</v>
      </c>
      <c r="N22" s="48" t="s">
        <v>83</v>
      </c>
      <c r="O22" s="49" t="s">
        <v>83</v>
      </c>
      <c r="P22" s="49" t="s">
        <v>83</v>
      </c>
      <c r="Q22" s="51" t="s">
        <v>83</v>
      </c>
      <c r="R22" s="48" t="s">
        <v>61</v>
      </c>
      <c r="S22" s="328" t="s">
        <v>84</v>
      </c>
      <c r="T22" s="51" t="s">
        <v>85</v>
      </c>
      <c r="U22" s="48" t="s">
        <v>62</v>
      </c>
      <c r="V22" s="52" t="s">
        <v>62</v>
      </c>
      <c r="W22" s="177" t="s">
        <v>86</v>
      </c>
      <c r="X22" s="177" t="s">
        <v>86</v>
      </c>
      <c r="Z22" s="45" t="s">
        <v>106</v>
      </c>
      <c r="AA22" s="234">
        <v>27.106589447040001</v>
      </c>
      <c r="AB22" s="53">
        <v>29.2108031596803</v>
      </c>
      <c r="AC22" s="234">
        <v>25.396514235138799</v>
      </c>
      <c r="AD22" s="53">
        <v>28.886940880449401</v>
      </c>
      <c r="AE22" s="1"/>
      <c r="AK22" s="4"/>
      <c r="AL22" s="1"/>
      <c r="AM22" s="45" t="s">
        <v>106</v>
      </c>
      <c r="AN22" s="229">
        <v>16.54</v>
      </c>
      <c r="AO22" s="185">
        <v>27.75</v>
      </c>
      <c r="AP22" s="216"/>
      <c r="AQ22" s="223"/>
      <c r="AR22" s="216"/>
      <c r="AS22" s="217"/>
      <c r="AT22" s="216"/>
      <c r="AU22" s="217"/>
      <c r="AV22" s="216"/>
      <c r="AW22" s="217"/>
      <c r="AX22" s="216"/>
      <c r="AY22" s="217"/>
      <c r="BA22" s="45" t="s">
        <v>106</v>
      </c>
      <c r="BB22" s="55">
        <v>1</v>
      </c>
      <c r="BC22" s="289">
        <v>15.22</v>
      </c>
      <c r="BD22" s="293">
        <v>31.19</v>
      </c>
      <c r="BE22" s="289">
        <v>14.95</v>
      </c>
      <c r="BF22" s="293">
        <v>28.97</v>
      </c>
      <c r="BG22" s="291">
        <v>15.27</v>
      </c>
      <c r="BH22" s="293">
        <v>30.78</v>
      </c>
      <c r="BI22" s="291">
        <v>15.87</v>
      </c>
      <c r="BJ22" s="293">
        <v>29.97</v>
      </c>
      <c r="BK22" s="291">
        <v>14.82</v>
      </c>
      <c r="BL22" s="293">
        <v>31.36</v>
      </c>
      <c r="BN22" s="251"/>
      <c r="BO22" s="252"/>
      <c r="BP22" s="251"/>
      <c r="BQ22" s="252"/>
      <c r="BR22" s="251"/>
      <c r="BS22" s="252"/>
      <c r="BT22" s="251"/>
      <c r="BU22" s="252"/>
      <c r="BV22" s="251"/>
      <c r="BW22" s="252"/>
      <c r="BY22" s="193" t="s">
        <v>106</v>
      </c>
      <c r="BZ22" s="198">
        <v>1</v>
      </c>
      <c r="CA22" s="199">
        <v>1</v>
      </c>
      <c r="CB22" s="200" t="s">
        <v>64</v>
      </c>
      <c r="CC22" s="54">
        <v>29.685620320241501</v>
      </c>
      <c r="CE22" s="193" t="s">
        <v>106</v>
      </c>
      <c r="CF22" s="198">
        <v>1</v>
      </c>
      <c r="CG22" s="317">
        <v>1</v>
      </c>
      <c r="CH22" s="314" t="s">
        <v>87</v>
      </c>
    </row>
    <row r="23" spans="2:86" ht="15.75" thickBot="1" x14ac:dyDescent="0.3">
      <c r="B23" s="373" t="s">
        <v>107</v>
      </c>
      <c r="C23" s="374"/>
      <c r="D23" s="374"/>
      <c r="E23" s="374"/>
      <c r="F23" s="374"/>
      <c r="G23" s="374"/>
      <c r="H23" s="375" t="s">
        <v>108</v>
      </c>
      <c r="I23" s="381"/>
      <c r="J23" s="29"/>
      <c r="K23" s="59" t="s">
        <v>109</v>
      </c>
      <c r="L23" s="81" t="s">
        <v>59</v>
      </c>
      <c r="M23" s="82" t="s">
        <v>226</v>
      </c>
      <c r="N23" s="66" t="s">
        <v>61</v>
      </c>
      <c r="O23" s="83" t="s">
        <v>61</v>
      </c>
      <c r="P23" s="83" t="s">
        <v>62</v>
      </c>
      <c r="Q23" s="84" t="s">
        <v>62</v>
      </c>
      <c r="R23" s="66" t="s">
        <v>62</v>
      </c>
      <c r="S23" s="67" t="s">
        <v>62</v>
      </c>
      <c r="T23" s="84" t="s">
        <v>60</v>
      </c>
      <c r="U23" s="62" t="s">
        <v>62</v>
      </c>
      <c r="V23" s="68" t="s">
        <v>62</v>
      </c>
      <c r="W23" s="179" t="s">
        <v>63</v>
      </c>
      <c r="X23" s="179" t="s">
        <v>63</v>
      </c>
      <c r="Z23" s="59" t="s">
        <v>109</v>
      </c>
      <c r="AA23" s="85" t="s">
        <v>64</v>
      </c>
      <c r="AB23" s="86">
        <v>29.2329320746665</v>
      </c>
      <c r="AC23" s="85" t="s">
        <v>64</v>
      </c>
      <c r="AD23" s="86">
        <v>29.0825318515402</v>
      </c>
      <c r="AE23" s="1"/>
      <c r="AK23" s="1"/>
      <c r="AL23" s="1"/>
      <c r="AM23" s="59" t="s">
        <v>109</v>
      </c>
      <c r="AN23" s="220"/>
      <c r="AO23" s="224"/>
      <c r="AP23" s="220"/>
      <c r="AQ23" s="221"/>
      <c r="AR23" s="225"/>
      <c r="AS23" s="226"/>
      <c r="AT23" s="220"/>
      <c r="AU23" s="221"/>
      <c r="AV23" s="220"/>
      <c r="AW23" s="221"/>
      <c r="AX23" s="220"/>
      <c r="AY23" s="221"/>
      <c r="BA23" s="59" t="s">
        <v>109</v>
      </c>
      <c r="BB23" s="87" t="s">
        <v>62</v>
      </c>
      <c r="BC23" s="266"/>
      <c r="BD23" s="224"/>
      <c r="BE23" s="266"/>
      <c r="BF23" s="224"/>
      <c r="BG23" s="267"/>
      <c r="BH23" s="224"/>
      <c r="BI23" s="267"/>
      <c r="BJ23" s="224"/>
      <c r="BK23" s="267"/>
      <c r="BL23" s="224"/>
      <c r="BN23" s="251"/>
      <c r="BO23" s="252"/>
      <c r="BP23" s="251"/>
      <c r="BQ23" s="252"/>
      <c r="BR23" s="251"/>
      <c r="BS23" s="252"/>
      <c r="BT23" s="251"/>
      <c r="BU23" s="252"/>
      <c r="BV23" s="251"/>
      <c r="BW23" s="252"/>
      <c r="BY23" s="194" t="s">
        <v>109</v>
      </c>
      <c r="BZ23" s="274"/>
      <c r="CA23" s="275"/>
      <c r="CB23" s="276"/>
      <c r="CC23" s="221"/>
      <c r="CE23" s="194" t="s">
        <v>109</v>
      </c>
      <c r="CF23" s="304" t="s">
        <v>61</v>
      </c>
      <c r="CG23" s="324" t="s">
        <v>61</v>
      </c>
      <c r="CH23" s="316"/>
    </row>
    <row r="24" spans="2:86" x14ac:dyDescent="0.25">
      <c r="B24" s="377" t="s">
        <v>110</v>
      </c>
      <c r="C24" s="378"/>
      <c r="D24" s="378"/>
      <c r="E24" s="378"/>
      <c r="F24" s="379" t="s">
        <v>62</v>
      </c>
      <c r="G24" s="379"/>
      <c r="H24" s="379"/>
      <c r="I24" s="380"/>
      <c r="J24" s="29"/>
      <c r="K24" s="30" t="s">
        <v>111</v>
      </c>
      <c r="L24" s="31" t="s">
        <v>76</v>
      </c>
      <c r="M24" s="32" t="s">
        <v>226</v>
      </c>
      <c r="N24" s="33" t="s">
        <v>83</v>
      </c>
      <c r="O24" s="34" t="s">
        <v>83</v>
      </c>
      <c r="P24" s="35" t="s">
        <v>83</v>
      </c>
      <c r="Q24" s="36" t="s">
        <v>83</v>
      </c>
      <c r="R24" s="33" t="s">
        <v>61</v>
      </c>
      <c r="S24" s="327" t="s">
        <v>84</v>
      </c>
      <c r="T24" s="36" t="s">
        <v>85</v>
      </c>
      <c r="U24" s="33" t="s">
        <v>62</v>
      </c>
      <c r="V24" s="40" t="s">
        <v>62</v>
      </c>
      <c r="W24" s="93" t="s">
        <v>86</v>
      </c>
      <c r="X24" s="176" t="s">
        <v>86</v>
      </c>
      <c r="Z24" s="30" t="s">
        <v>111</v>
      </c>
      <c r="AA24" s="233">
        <v>15.8926868018366</v>
      </c>
      <c r="AB24" s="41">
        <v>30.035718128589298</v>
      </c>
      <c r="AC24" s="233">
        <v>15.863677235696301</v>
      </c>
      <c r="AD24" s="41">
        <v>34.544038670681701</v>
      </c>
      <c r="AE24" s="1"/>
      <c r="AK24" s="1"/>
      <c r="AL24" s="1"/>
      <c r="AM24" s="30" t="s">
        <v>111</v>
      </c>
      <c r="AN24" s="230">
        <v>16.55</v>
      </c>
      <c r="AO24" s="184">
        <v>29.07</v>
      </c>
      <c r="AP24" s="230">
        <v>17.170000000000002</v>
      </c>
      <c r="AQ24" s="186">
        <v>27.82</v>
      </c>
      <c r="AR24" s="212"/>
      <c r="AS24" s="213"/>
      <c r="AT24" s="212"/>
      <c r="AU24" s="213"/>
      <c r="AV24" s="212"/>
      <c r="AW24" s="213"/>
      <c r="AX24" s="212"/>
      <c r="AY24" s="213"/>
      <c r="BA24" s="30" t="s">
        <v>111</v>
      </c>
      <c r="BB24" s="44">
        <v>1</v>
      </c>
      <c r="BC24" s="288">
        <v>15.18</v>
      </c>
      <c r="BD24" s="292">
        <v>31.23</v>
      </c>
      <c r="BE24" s="291">
        <v>15.13</v>
      </c>
      <c r="BF24" s="295">
        <v>30.85</v>
      </c>
      <c r="BG24" s="291">
        <v>15.22</v>
      </c>
      <c r="BH24" s="295">
        <v>31.35</v>
      </c>
      <c r="BI24" s="291">
        <v>15.64</v>
      </c>
      <c r="BJ24" s="295">
        <v>30.34</v>
      </c>
      <c r="BK24" s="291">
        <v>15.79</v>
      </c>
      <c r="BL24" s="295">
        <v>30.12</v>
      </c>
      <c r="BN24" s="243"/>
      <c r="BO24" s="217"/>
      <c r="BP24" s="243"/>
      <c r="BQ24" s="217"/>
      <c r="BR24" s="243"/>
      <c r="BS24" s="217"/>
      <c r="BT24" s="243"/>
      <c r="BU24" s="217"/>
      <c r="BV24" s="216"/>
      <c r="BW24" s="217"/>
      <c r="BY24" s="192" t="s">
        <v>111</v>
      </c>
      <c r="BZ24" s="203">
        <v>1</v>
      </c>
      <c r="CA24" s="204">
        <v>1</v>
      </c>
      <c r="CB24" s="205" t="s">
        <v>64</v>
      </c>
      <c r="CC24" s="184">
        <v>29.8312267939184</v>
      </c>
      <c r="CE24" s="201" t="s">
        <v>111</v>
      </c>
      <c r="CF24" s="203">
        <v>1</v>
      </c>
      <c r="CG24" s="322">
        <v>1</v>
      </c>
      <c r="CH24" s="321" t="s">
        <v>87</v>
      </c>
    </row>
    <row r="25" spans="2:86" x14ac:dyDescent="0.25">
      <c r="B25" s="353" t="s">
        <v>112</v>
      </c>
      <c r="C25" s="354"/>
      <c r="D25" s="354"/>
      <c r="E25" s="354"/>
      <c r="F25" s="382" t="s">
        <v>62</v>
      </c>
      <c r="G25" s="355"/>
      <c r="H25" s="355"/>
      <c r="I25" s="356"/>
      <c r="J25" s="29"/>
      <c r="K25" s="45" t="s">
        <v>113</v>
      </c>
      <c r="L25" s="46" t="s">
        <v>76</v>
      </c>
      <c r="M25" s="47" t="s">
        <v>226</v>
      </c>
      <c r="N25" s="48" t="s">
        <v>61</v>
      </c>
      <c r="O25" s="49" t="s">
        <v>61</v>
      </c>
      <c r="P25" s="50" t="s">
        <v>62</v>
      </c>
      <c r="Q25" s="51" t="s">
        <v>62</v>
      </c>
      <c r="R25" s="48" t="s">
        <v>62</v>
      </c>
      <c r="S25" s="50" t="s">
        <v>62</v>
      </c>
      <c r="T25" s="51" t="s">
        <v>60</v>
      </c>
      <c r="U25" s="48" t="s">
        <v>62</v>
      </c>
      <c r="V25" s="52" t="s">
        <v>62</v>
      </c>
      <c r="W25" s="96" t="s">
        <v>63</v>
      </c>
      <c r="X25" s="177" t="s">
        <v>63</v>
      </c>
      <c r="Y25" s="88"/>
      <c r="Z25" s="45" t="s">
        <v>113</v>
      </c>
      <c r="AA25" s="77" t="s">
        <v>64</v>
      </c>
      <c r="AB25" s="53">
        <v>28.784605136229601</v>
      </c>
      <c r="AC25" s="77" t="s">
        <v>64</v>
      </c>
      <c r="AD25" s="53">
        <v>28.995694835599</v>
      </c>
      <c r="AE25" s="1"/>
      <c r="AK25" s="1"/>
      <c r="AL25" s="1"/>
      <c r="AM25" s="45" t="s">
        <v>113</v>
      </c>
      <c r="AN25" s="216"/>
      <c r="AO25" s="223"/>
      <c r="AP25" s="216"/>
      <c r="AQ25" s="223"/>
      <c r="AR25" s="216"/>
      <c r="AS25" s="217"/>
      <c r="AT25" s="216"/>
      <c r="AU25" s="217"/>
      <c r="AV25" s="216"/>
      <c r="AW25" s="217"/>
      <c r="AX25" s="216"/>
      <c r="AY25" s="217"/>
      <c r="BA25" s="45" t="s">
        <v>113</v>
      </c>
      <c r="BB25" s="55" t="s">
        <v>62</v>
      </c>
      <c r="BC25" s="296"/>
      <c r="BD25" s="294"/>
      <c r="BE25" s="265"/>
      <c r="BF25" s="294"/>
      <c r="BG25" s="296"/>
      <c r="BH25" s="294"/>
      <c r="BI25" s="296"/>
      <c r="BJ25" s="294"/>
      <c r="BK25" s="296"/>
      <c r="BL25" s="294"/>
      <c r="BN25" s="251"/>
      <c r="BO25" s="252"/>
      <c r="BP25" s="251"/>
      <c r="BQ25" s="252"/>
      <c r="BR25" s="251"/>
      <c r="BS25" s="252"/>
      <c r="BT25" s="251"/>
      <c r="BU25" s="252"/>
      <c r="BV25" s="268"/>
      <c r="BW25" s="269"/>
      <c r="BY25" s="193" t="s">
        <v>113</v>
      </c>
      <c r="BZ25" s="271"/>
      <c r="CA25" s="272"/>
      <c r="CB25" s="277"/>
      <c r="CC25" s="217"/>
      <c r="CE25" s="193" t="s">
        <v>113</v>
      </c>
      <c r="CF25" s="198" t="s">
        <v>61</v>
      </c>
      <c r="CG25" s="317" t="s">
        <v>61</v>
      </c>
      <c r="CH25" s="313"/>
    </row>
    <row r="26" spans="2:86" ht="15.75" thickBot="1" x14ac:dyDescent="0.3">
      <c r="B26" s="369" t="s">
        <v>114</v>
      </c>
      <c r="C26" s="370"/>
      <c r="D26" s="370"/>
      <c r="E26" s="370"/>
      <c r="F26" s="371" t="s">
        <v>62</v>
      </c>
      <c r="G26" s="371"/>
      <c r="H26" s="371"/>
      <c r="I26" s="372"/>
      <c r="J26" s="29"/>
      <c r="K26" s="45" t="s">
        <v>115</v>
      </c>
      <c r="L26" s="46" t="s">
        <v>76</v>
      </c>
      <c r="M26" s="47" t="s">
        <v>226</v>
      </c>
      <c r="N26" s="48" t="s">
        <v>61</v>
      </c>
      <c r="O26" s="49" t="s">
        <v>61</v>
      </c>
      <c r="P26" s="50" t="s">
        <v>62</v>
      </c>
      <c r="Q26" s="51" t="s">
        <v>62</v>
      </c>
      <c r="R26" s="48" t="s">
        <v>62</v>
      </c>
      <c r="S26" s="50" t="s">
        <v>62</v>
      </c>
      <c r="T26" s="51" t="s">
        <v>60</v>
      </c>
      <c r="U26" s="48" t="s">
        <v>62</v>
      </c>
      <c r="V26" s="52" t="s">
        <v>62</v>
      </c>
      <c r="W26" s="96" t="s">
        <v>63</v>
      </c>
      <c r="X26" s="177" t="s">
        <v>63</v>
      </c>
      <c r="Y26" s="88"/>
      <c r="Z26" s="45" t="s">
        <v>115</v>
      </c>
      <c r="AA26" s="77" t="s">
        <v>64</v>
      </c>
      <c r="AB26" s="53">
        <v>29.044818486567198</v>
      </c>
      <c r="AC26" s="77" t="s">
        <v>64</v>
      </c>
      <c r="AD26" s="53">
        <v>29.0122696146938</v>
      </c>
      <c r="AE26" s="1"/>
      <c r="AK26" s="1"/>
      <c r="AL26" s="1"/>
      <c r="AM26" s="45" t="s">
        <v>115</v>
      </c>
      <c r="AN26" s="216"/>
      <c r="AO26" s="223"/>
      <c r="AP26" s="216"/>
      <c r="AQ26" s="223"/>
      <c r="AR26" s="216"/>
      <c r="AS26" s="217"/>
      <c r="AT26" s="216"/>
      <c r="AU26" s="217"/>
      <c r="AV26" s="216"/>
      <c r="AW26" s="217"/>
      <c r="AX26" s="216"/>
      <c r="AY26" s="217"/>
      <c r="BA26" s="45" t="s">
        <v>115</v>
      </c>
      <c r="BB26" s="55" t="s">
        <v>62</v>
      </c>
      <c r="BC26" s="296"/>
      <c r="BD26" s="294"/>
      <c r="BE26" s="296"/>
      <c r="BF26" s="294"/>
      <c r="BG26" s="296"/>
      <c r="BH26" s="294"/>
      <c r="BI26" s="296"/>
      <c r="BJ26" s="294"/>
      <c r="BK26" s="296"/>
      <c r="BL26" s="294"/>
      <c r="BN26" s="251"/>
      <c r="BO26" s="252"/>
      <c r="BP26" s="251"/>
      <c r="BQ26" s="252"/>
      <c r="BR26" s="251"/>
      <c r="BS26" s="252"/>
      <c r="BT26" s="251"/>
      <c r="BU26" s="252"/>
      <c r="BV26" s="268"/>
      <c r="BW26" s="269"/>
      <c r="BY26" s="193" t="s">
        <v>115</v>
      </c>
      <c r="BZ26" s="271"/>
      <c r="CA26" s="272"/>
      <c r="CB26" s="277"/>
      <c r="CC26" s="217"/>
      <c r="CE26" s="193" t="s">
        <v>115</v>
      </c>
      <c r="CF26" s="198" t="s">
        <v>61</v>
      </c>
      <c r="CG26" s="317" t="s">
        <v>61</v>
      </c>
      <c r="CH26" s="313"/>
    </row>
    <row r="27" spans="2:86" ht="15.75" thickBot="1" x14ac:dyDescent="0.3">
      <c r="B27" s="75"/>
      <c r="C27" s="75"/>
      <c r="D27" s="75"/>
      <c r="E27" s="76"/>
      <c r="F27" s="76"/>
      <c r="G27" s="76"/>
      <c r="H27" s="76"/>
      <c r="I27" s="76"/>
      <c r="J27" s="29"/>
      <c r="K27" s="45" t="s">
        <v>116</v>
      </c>
      <c r="L27" s="46" t="s">
        <v>76</v>
      </c>
      <c r="M27" s="47" t="s">
        <v>226</v>
      </c>
      <c r="N27" s="48" t="s">
        <v>61</v>
      </c>
      <c r="O27" s="49" t="s">
        <v>61</v>
      </c>
      <c r="P27" s="50" t="s">
        <v>62</v>
      </c>
      <c r="Q27" s="51" t="s">
        <v>62</v>
      </c>
      <c r="R27" s="48" t="s">
        <v>62</v>
      </c>
      <c r="S27" s="50" t="s">
        <v>62</v>
      </c>
      <c r="T27" s="51" t="s">
        <v>60</v>
      </c>
      <c r="U27" s="48" t="s">
        <v>62</v>
      </c>
      <c r="V27" s="52" t="s">
        <v>62</v>
      </c>
      <c r="W27" s="96" t="s">
        <v>63</v>
      </c>
      <c r="X27" s="177" t="s">
        <v>63</v>
      </c>
      <c r="Y27" s="88"/>
      <c r="Z27" s="45" t="s">
        <v>116</v>
      </c>
      <c r="AA27" s="77" t="s">
        <v>64</v>
      </c>
      <c r="AB27" s="53">
        <v>29.211603232958701</v>
      </c>
      <c r="AC27" s="77" t="s">
        <v>64</v>
      </c>
      <c r="AD27" s="53">
        <v>29.261702845638101</v>
      </c>
      <c r="AE27" s="1"/>
      <c r="AK27" s="1"/>
      <c r="AL27" s="1"/>
      <c r="AM27" s="45" t="s">
        <v>116</v>
      </c>
      <c r="AN27" s="216"/>
      <c r="AO27" s="223"/>
      <c r="AP27" s="216"/>
      <c r="AQ27" s="223"/>
      <c r="AR27" s="216"/>
      <c r="AS27" s="217"/>
      <c r="AT27" s="216"/>
      <c r="AU27" s="217"/>
      <c r="AV27" s="216"/>
      <c r="AW27" s="217"/>
      <c r="AX27" s="216"/>
      <c r="AY27" s="217"/>
      <c r="BA27" s="45" t="s">
        <v>116</v>
      </c>
      <c r="BB27" s="55" t="s">
        <v>62</v>
      </c>
      <c r="BC27" s="296"/>
      <c r="BD27" s="294"/>
      <c r="BE27" s="296"/>
      <c r="BF27" s="294"/>
      <c r="BG27" s="296"/>
      <c r="BH27" s="294"/>
      <c r="BI27" s="296"/>
      <c r="BJ27" s="294"/>
      <c r="BK27" s="296"/>
      <c r="BL27" s="294"/>
      <c r="BN27" s="251"/>
      <c r="BO27" s="252"/>
      <c r="BP27" s="251"/>
      <c r="BQ27" s="252"/>
      <c r="BR27" s="251"/>
      <c r="BS27" s="252"/>
      <c r="BT27" s="251"/>
      <c r="BU27" s="252"/>
      <c r="BV27" s="268"/>
      <c r="BW27" s="269"/>
      <c r="BY27" s="193" t="s">
        <v>116</v>
      </c>
      <c r="BZ27" s="271"/>
      <c r="CA27" s="272"/>
      <c r="CB27" s="273"/>
      <c r="CC27" s="217"/>
      <c r="CE27" s="193" t="s">
        <v>116</v>
      </c>
      <c r="CF27" s="198" t="s">
        <v>61</v>
      </c>
      <c r="CG27" s="317" t="s">
        <v>61</v>
      </c>
      <c r="CH27" s="313"/>
    </row>
    <row r="28" spans="2:86" ht="15.75" thickBot="1" x14ac:dyDescent="0.3">
      <c r="B28" s="373" t="s">
        <v>117</v>
      </c>
      <c r="C28" s="374"/>
      <c r="D28" s="374"/>
      <c r="E28" s="374"/>
      <c r="F28" s="374"/>
      <c r="G28" s="374"/>
      <c r="H28" s="375" t="s">
        <v>108</v>
      </c>
      <c r="I28" s="376"/>
      <c r="J28" s="29"/>
      <c r="K28" s="45" t="s">
        <v>118</v>
      </c>
      <c r="L28" s="46" t="s">
        <v>76</v>
      </c>
      <c r="M28" s="47" t="s">
        <v>226</v>
      </c>
      <c r="N28" s="48" t="s">
        <v>83</v>
      </c>
      <c r="O28" s="49" t="s">
        <v>83</v>
      </c>
      <c r="P28" s="50" t="s">
        <v>83</v>
      </c>
      <c r="Q28" s="51" t="s">
        <v>83</v>
      </c>
      <c r="R28" s="48" t="s">
        <v>61</v>
      </c>
      <c r="S28" s="328" t="s">
        <v>84</v>
      </c>
      <c r="T28" s="51" t="s">
        <v>85</v>
      </c>
      <c r="U28" s="48" t="s">
        <v>62</v>
      </c>
      <c r="V28" s="52" t="s">
        <v>62</v>
      </c>
      <c r="W28" s="96" t="s">
        <v>86</v>
      </c>
      <c r="X28" s="177" t="s">
        <v>86</v>
      </c>
      <c r="Y28" s="88"/>
      <c r="Z28" s="45" t="s">
        <v>118</v>
      </c>
      <c r="AA28" s="234">
        <v>16.217352297748299</v>
      </c>
      <c r="AB28" s="53">
        <v>29.675416041243899</v>
      </c>
      <c r="AC28" s="234">
        <v>17.078732112750799</v>
      </c>
      <c r="AD28" s="53">
        <v>30.689135445540401</v>
      </c>
      <c r="AE28" s="1"/>
      <c r="AK28" s="1"/>
      <c r="AL28" s="1"/>
      <c r="AM28" s="45" t="s">
        <v>118</v>
      </c>
      <c r="AN28" s="229">
        <v>16.309999999999999</v>
      </c>
      <c r="AO28" s="185">
        <v>28.25</v>
      </c>
      <c r="AP28" s="229">
        <v>16.64</v>
      </c>
      <c r="AQ28" s="185">
        <v>29.03</v>
      </c>
      <c r="AR28" s="216"/>
      <c r="AS28" s="217"/>
      <c r="AT28" s="216"/>
      <c r="AU28" s="217"/>
      <c r="AV28" s="216"/>
      <c r="AW28" s="217"/>
      <c r="AX28" s="216"/>
      <c r="AY28" s="217"/>
      <c r="BA28" s="45" t="s">
        <v>118</v>
      </c>
      <c r="BB28" s="55">
        <v>1</v>
      </c>
      <c r="BC28" s="297">
        <v>15.6</v>
      </c>
      <c r="BD28" s="293">
        <v>30.95</v>
      </c>
      <c r="BE28" s="297">
        <v>15.92</v>
      </c>
      <c r="BF28" s="293">
        <v>30.08</v>
      </c>
      <c r="BG28" s="297">
        <v>15.87</v>
      </c>
      <c r="BH28" s="293">
        <v>30.8</v>
      </c>
      <c r="BI28" s="297">
        <v>17.72</v>
      </c>
      <c r="BJ28" s="293">
        <v>29.28</v>
      </c>
      <c r="BK28" s="297">
        <v>16.07</v>
      </c>
      <c r="BL28" s="293">
        <v>29.68</v>
      </c>
      <c r="BN28" s="251"/>
      <c r="BO28" s="252"/>
      <c r="BP28" s="251"/>
      <c r="BQ28" s="252"/>
      <c r="BR28" s="251"/>
      <c r="BS28" s="252"/>
      <c r="BT28" s="251"/>
      <c r="BU28" s="252"/>
      <c r="BV28" s="268"/>
      <c r="BW28" s="269"/>
      <c r="BY28" s="193" t="s">
        <v>118</v>
      </c>
      <c r="BZ28" s="198">
        <v>1</v>
      </c>
      <c r="CA28" s="199">
        <v>1</v>
      </c>
      <c r="CB28" s="200" t="s">
        <v>64</v>
      </c>
      <c r="CC28" s="54">
        <v>29.86</v>
      </c>
      <c r="CE28" s="193" t="s">
        <v>118</v>
      </c>
      <c r="CF28" s="198">
        <v>1</v>
      </c>
      <c r="CG28" s="317">
        <v>1</v>
      </c>
      <c r="CH28" s="314" t="s">
        <v>87</v>
      </c>
    </row>
    <row r="29" spans="2:86" ht="15.75" thickBot="1" x14ac:dyDescent="0.3">
      <c r="B29" s="377" t="s">
        <v>119</v>
      </c>
      <c r="C29" s="378"/>
      <c r="D29" s="378"/>
      <c r="E29" s="378"/>
      <c r="F29" s="379" t="s">
        <v>62</v>
      </c>
      <c r="G29" s="379"/>
      <c r="H29" s="379"/>
      <c r="I29" s="380"/>
      <c r="J29" s="29"/>
      <c r="K29" s="78" t="s">
        <v>120</v>
      </c>
      <c r="L29" s="46" t="s">
        <v>76</v>
      </c>
      <c r="M29" s="47" t="s">
        <v>226</v>
      </c>
      <c r="N29" s="48" t="s">
        <v>61</v>
      </c>
      <c r="O29" s="49" t="s">
        <v>61</v>
      </c>
      <c r="P29" s="50" t="s">
        <v>62</v>
      </c>
      <c r="Q29" s="51" t="s">
        <v>62</v>
      </c>
      <c r="R29" s="48" t="s">
        <v>62</v>
      </c>
      <c r="S29" s="50" t="s">
        <v>62</v>
      </c>
      <c r="T29" s="51" t="s">
        <v>60</v>
      </c>
      <c r="U29" s="48" t="s">
        <v>62</v>
      </c>
      <c r="V29" s="52" t="s">
        <v>62</v>
      </c>
      <c r="W29" s="96" t="s">
        <v>63</v>
      </c>
      <c r="X29" s="177" t="s">
        <v>63</v>
      </c>
      <c r="Y29" s="88"/>
      <c r="Z29" s="78" t="s">
        <v>120</v>
      </c>
      <c r="AA29" s="77" t="s">
        <v>64</v>
      </c>
      <c r="AB29" s="53">
        <v>29.234822446001498</v>
      </c>
      <c r="AC29" s="77" t="s">
        <v>64</v>
      </c>
      <c r="AD29" s="53">
        <v>29.099271040704899</v>
      </c>
      <c r="AE29" s="1"/>
      <c r="AF29" s="1"/>
      <c r="AG29" s="89" t="s">
        <v>121</v>
      </c>
      <c r="AK29" s="1"/>
      <c r="AL29" s="1"/>
      <c r="AM29" s="78" t="s">
        <v>120</v>
      </c>
      <c r="AN29" s="216"/>
      <c r="AO29" s="223"/>
      <c r="AP29" s="216"/>
      <c r="AQ29" s="223"/>
      <c r="AR29" s="216"/>
      <c r="AS29" s="217"/>
      <c r="AT29" s="216"/>
      <c r="AU29" s="217"/>
      <c r="AV29" s="216"/>
      <c r="AW29" s="217"/>
      <c r="AX29" s="216"/>
      <c r="AY29" s="217"/>
      <c r="BA29" s="78" t="s">
        <v>120</v>
      </c>
      <c r="BB29" s="55" t="s">
        <v>62</v>
      </c>
      <c r="BC29" s="296"/>
      <c r="BD29" s="294"/>
      <c r="BE29" s="296"/>
      <c r="BF29" s="294"/>
      <c r="BG29" s="296"/>
      <c r="BH29" s="294"/>
      <c r="BI29" s="296"/>
      <c r="BJ29" s="294"/>
      <c r="BK29" s="296"/>
      <c r="BL29" s="294"/>
      <c r="BN29" s="251"/>
      <c r="BO29" s="252"/>
      <c r="BP29" s="251"/>
      <c r="BQ29" s="252"/>
      <c r="BR29" s="251"/>
      <c r="BS29" s="252"/>
      <c r="BT29" s="251"/>
      <c r="BU29" s="252"/>
      <c r="BV29" s="268"/>
      <c r="BW29" s="269"/>
      <c r="BY29" s="201" t="s">
        <v>120</v>
      </c>
      <c r="BZ29" s="271"/>
      <c r="CA29" s="272"/>
      <c r="CB29" s="273"/>
      <c r="CC29" s="217"/>
      <c r="CE29" s="193" t="s">
        <v>120</v>
      </c>
      <c r="CF29" s="198" t="s">
        <v>61</v>
      </c>
      <c r="CG29" s="317" t="s">
        <v>61</v>
      </c>
      <c r="CH29" s="313"/>
    </row>
    <row r="30" spans="2:86" x14ac:dyDescent="0.25">
      <c r="B30" s="357" t="s">
        <v>122</v>
      </c>
      <c r="C30" s="358"/>
      <c r="D30" s="358"/>
      <c r="E30" s="359"/>
      <c r="F30" s="363" t="s">
        <v>62</v>
      </c>
      <c r="G30" s="364"/>
      <c r="H30" s="364"/>
      <c r="I30" s="365"/>
      <c r="J30" s="29"/>
      <c r="K30" s="45" t="s">
        <v>123</v>
      </c>
      <c r="L30" s="46" t="s">
        <v>76</v>
      </c>
      <c r="M30" s="47" t="s">
        <v>226</v>
      </c>
      <c r="N30" s="48" t="s">
        <v>61</v>
      </c>
      <c r="O30" s="49" t="s">
        <v>61</v>
      </c>
      <c r="P30" s="50" t="s">
        <v>62</v>
      </c>
      <c r="Q30" s="51" t="s">
        <v>62</v>
      </c>
      <c r="R30" s="48" t="s">
        <v>62</v>
      </c>
      <c r="S30" s="50" t="s">
        <v>62</v>
      </c>
      <c r="T30" s="51" t="s">
        <v>60</v>
      </c>
      <c r="U30" s="48" t="s">
        <v>62</v>
      </c>
      <c r="V30" s="52" t="s">
        <v>62</v>
      </c>
      <c r="W30" s="96" t="s">
        <v>63</v>
      </c>
      <c r="X30" s="177" t="s">
        <v>63</v>
      </c>
      <c r="Y30" s="88"/>
      <c r="Z30" s="45" t="s">
        <v>123</v>
      </c>
      <c r="AA30" s="77" t="s">
        <v>64</v>
      </c>
      <c r="AB30" s="53">
        <v>29.150808613262299</v>
      </c>
      <c r="AC30" s="77" t="s">
        <v>64</v>
      </c>
      <c r="AD30" s="53">
        <v>29.1954597373322</v>
      </c>
      <c r="AE30" s="1"/>
      <c r="AG30" s="366" t="s">
        <v>68</v>
      </c>
      <c r="AH30" s="367"/>
      <c r="AI30" s="368" t="s">
        <v>69</v>
      </c>
      <c r="AJ30" s="367"/>
      <c r="AK30" s="1"/>
      <c r="AL30" s="1"/>
      <c r="AM30" s="45" t="s">
        <v>123</v>
      </c>
      <c r="AN30" s="216"/>
      <c r="AO30" s="223"/>
      <c r="AP30" s="216"/>
      <c r="AQ30" s="223"/>
      <c r="AR30" s="216"/>
      <c r="AS30" s="217"/>
      <c r="AT30" s="216"/>
      <c r="AU30" s="217"/>
      <c r="AV30" s="216"/>
      <c r="AW30" s="217"/>
      <c r="AX30" s="216"/>
      <c r="AY30" s="217"/>
      <c r="BA30" s="45" t="s">
        <v>123</v>
      </c>
      <c r="BB30" s="55" t="s">
        <v>62</v>
      </c>
      <c r="BC30" s="296"/>
      <c r="BD30" s="294"/>
      <c r="BE30" s="296"/>
      <c r="BF30" s="294"/>
      <c r="BG30" s="296"/>
      <c r="BH30" s="294"/>
      <c r="BI30" s="296"/>
      <c r="BJ30" s="294"/>
      <c r="BK30" s="296"/>
      <c r="BL30" s="294"/>
      <c r="BN30" s="251"/>
      <c r="BO30" s="252"/>
      <c r="BP30" s="251"/>
      <c r="BQ30" s="252"/>
      <c r="BR30" s="251"/>
      <c r="BS30" s="252"/>
      <c r="BT30" s="251"/>
      <c r="BU30" s="252"/>
      <c r="BV30" s="268"/>
      <c r="BW30" s="269"/>
      <c r="BY30" s="193" t="s">
        <v>123</v>
      </c>
      <c r="BZ30" s="271"/>
      <c r="CA30" s="272"/>
      <c r="CB30" s="273"/>
      <c r="CC30" s="217"/>
      <c r="CE30" s="193" t="s">
        <v>123</v>
      </c>
      <c r="CF30" s="198" t="s">
        <v>61</v>
      </c>
      <c r="CG30" s="317" t="s">
        <v>61</v>
      </c>
      <c r="CH30" s="313"/>
    </row>
    <row r="31" spans="2:86" ht="15.75" thickBot="1" x14ac:dyDescent="0.3">
      <c r="B31" s="353" t="s">
        <v>124</v>
      </c>
      <c r="C31" s="354"/>
      <c r="D31" s="354"/>
      <c r="E31" s="354"/>
      <c r="F31" s="355" t="s">
        <v>62</v>
      </c>
      <c r="G31" s="355"/>
      <c r="H31" s="355"/>
      <c r="I31" s="356"/>
      <c r="J31" s="29"/>
      <c r="K31" s="45" t="s">
        <v>125</v>
      </c>
      <c r="L31" s="46" t="s">
        <v>76</v>
      </c>
      <c r="M31" s="47" t="s">
        <v>226</v>
      </c>
      <c r="N31" s="48" t="s">
        <v>61</v>
      </c>
      <c r="O31" s="49" t="s">
        <v>61</v>
      </c>
      <c r="P31" s="50" t="s">
        <v>62</v>
      </c>
      <c r="Q31" s="51" t="s">
        <v>62</v>
      </c>
      <c r="R31" s="48" t="s">
        <v>62</v>
      </c>
      <c r="S31" s="50" t="s">
        <v>62</v>
      </c>
      <c r="T31" s="90" t="s">
        <v>60</v>
      </c>
      <c r="U31" s="48" t="s">
        <v>62</v>
      </c>
      <c r="V31" s="52" t="s">
        <v>62</v>
      </c>
      <c r="W31" s="96" t="s">
        <v>63</v>
      </c>
      <c r="X31" s="177" t="s">
        <v>63</v>
      </c>
      <c r="Y31" s="88"/>
      <c r="Z31" s="45" t="s">
        <v>125</v>
      </c>
      <c r="AA31" s="77" t="s">
        <v>64</v>
      </c>
      <c r="AB31" s="53">
        <v>28.768756396366001</v>
      </c>
      <c r="AC31" s="77" t="s">
        <v>64</v>
      </c>
      <c r="AD31" s="53">
        <v>28.973371365196101</v>
      </c>
      <c r="AE31" s="1"/>
      <c r="AG31" s="56" t="s">
        <v>55</v>
      </c>
      <c r="AH31" s="28" t="s">
        <v>56</v>
      </c>
      <c r="AI31" s="27" t="s">
        <v>55</v>
      </c>
      <c r="AJ31" s="28" t="s">
        <v>56</v>
      </c>
      <c r="AK31" s="1"/>
      <c r="AL31" s="1"/>
      <c r="AM31" s="45" t="s">
        <v>125</v>
      </c>
      <c r="AN31" s="216"/>
      <c r="AO31" s="223"/>
      <c r="AP31" s="216"/>
      <c r="AQ31" s="223"/>
      <c r="AR31" s="216"/>
      <c r="AS31" s="217"/>
      <c r="AT31" s="216"/>
      <c r="AU31" s="217"/>
      <c r="AV31" s="216"/>
      <c r="AW31" s="217"/>
      <c r="AX31" s="216"/>
      <c r="AY31" s="217"/>
      <c r="BA31" s="45" t="s">
        <v>125</v>
      </c>
      <c r="BB31" s="55" t="s">
        <v>62</v>
      </c>
      <c r="BC31" s="296"/>
      <c r="BD31" s="294"/>
      <c r="BE31" s="296"/>
      <c r="BF31" s="294"/>
      <c r="BG31" s="296"/>
      <c r="BH31" s="294"/>
      <c r="BI31" s="296"/>
      <c r="BJ31" s="294"/>
      <c r="BK31" s="296"/>
      <c r="BL31" s="294"/>
      <c r="BN31" s="251"/>
      <c r="BO31" s="252"/>
      <c r="BP31" s="251"/>
      <c r="BQ31" s="252"/>
      <c r="BR31" s="251"/>
      <c r="BS31" s="252"/>
      <c r="BT31" s="251"/>
      <c r="BU31" s="252"/>
      <c r="BV31" s="268"/>
      <c r="BW31" s="269"/>
      <c r="BY31" s="193" t="s">
        <v>125</v>
      </c>
      <c r="BZ31" s="271"/>
      <c r="CA31" s="272"/>
      <c r="CB31" s="273"/>
      <c r="CC31" s="217"/>
      <c r="CE31" s="193" t="s">
        <v>125</v>
      </c>
      <c r="CF31" s="198" t="s">
        <v>61</v>
      </c>
      <c r="CG31" s="317" t="s">
        <v>61</v>
      </c>
      <c r="CH31" s="313"/>
    </row>
    <row r="32" spans="2:86" ht="15" customHeight="1" x14ac:dyDescent="0.25">
      <c r="B32" s="353" t="s">
        <v>97</v>
      </c>
      <c r="C32" s="354"/>
      <c r="D32" s="354"/>
      <c r="E32" s="354"/>
      <c r="F32" s="355" t="s">
        <v>62</v>
      </c>
      <c r="G32" s="355"/>
      <c r="H32" s="355"/>
      <c r="I32" s="356"/>
      <c r="J32" s="29"/>
      <c r="K32" s="45" t="s">
        <v>126</v>
      </c>
      <c r="L32" s="46" t="s">
        <v>76</v>
      </c>
      <c r="M32" s="47" t="s">
        <v>226</v>
      </c>
      <c r="N32" s="48" t="s">
        <v>61</v>
      </c>
      <c r="O32" s="49" t="s">
        <v>61</v>
      </c>
      <c r="P32" s="50" t="s">
        <v>62</v>
      </c>
      <c r="Q32" s="51" t="s">
        <v>62</v>
      </c>
      <c r="R32" s="48" t="s">
        <v>62</v>
      </c>
      <c r="S32" s="50" t="s">
        <v>62</v>
      </c>
      <c r="T32" s="51" t="s">
        <v>60</v>
      </c>
      <c r="U32" s="48" t="s">
        <v>62</v>
      </c>
      <c r="V32" s="52" t="s">
        <v>62</v>
      </c>
      <c r="W32" s="96" t="s">
        <v>63</v>
      </c>
      <c r="X32" s="177" t="s">
        <v>63</v>
      </c>
      <c r="Z32" s="45" t="s">
        <v>126</v>
      </c>
      <c r="AA32" s="77" t="s">
        <v>64</v>
      </c>
      <c r="AB32" s="53">
        <v>29.223290485906698</v>
      </c>
      <c r="AC32" s="77" t="s">
        <v>64</v>
      </c>
      <c r="AD32" s="53">
        <v>29.279611357526701</v>
      </c>
      <c r="AE32" s="1"/>
      <c r="AF32" s="57" t="s">
        <v>59</v>
      </c>
      <c r="AG32" s="42">
        <f>AVERAGE(AA14:AA23)</f>
        <v>20.288922458964382</v>
      </c>
      <c r="AH32" s="43">
        <f>AVERAGE(AB14:AB23)</f>
        <v>29.248273352355135</v>
      </c>
      <c r="AI32" s="303">
        <f>AVERAGE(AC14:AC23)</f>
        <v>20.018462601970253</v>
      </c>
      <c r="AJ32" s="43">
        <f>AVERAGE(AD14:AD23)</f>
        <v>30.077654673602058</v>
      </c>
      <c r="AK32" s="1"/>
      <c r="AL32" s="1"/>
      <c r="AM32" s="45" t="s">
        <v>126</v>
      </c>
      <c r="AN32" s="216"/>
      <c r="AO32" s="227"/>
      <c r="AP32" s="216"/>
      <c r="AQ32" s="227"/>
      <c r="AR32" s="216"/>
      <c r="AS32" s="217"/>
      <c r="AT32" s="216"/>
      <c r="AU32" s="217"/>
      <c r="AV32" s="216"/>
      <c r="AW32" s="217"/>
      <c r="AX32" s="216"/>
      <c r="AY32" s="217"/>
      <c r="BA32" s="45" t="s">
        <v>126</v>
      </c>
      <c r="BB32" s="55" t="s">
        <v>62</v>
      </c>
      <c r="BC32" s="265"/>
      <c r="BD32" s="294"/>
      <c r="BE32" s="223"/>
      <c r="BF32" s="294"/>
      <c r="BG32" s="223"/>
      <c r="BH32" s="294"/>
      <c r="BI32" s="223"/>
      <c r="BJ32" s="294"/>
      <c r="BK32" s="223"/>
      <c r="BL32" s="294"/>
      <c r="BN32" s="243"/>
      <c r="BO32" s="217"/>
      <c r="BP32" s="243"/>
      <c r="BQ32" s="217"/>
      <c r="BR32" s="243"/>
      <c r="BS32" s="217"/>
      <c r="BT32" s="243"/>
      <c r="BU32" s="217"/>
      <c r="BV32" s="216"/>
      <c r="BW32" s="217"/>
      <c r="BY32" s="193" t="s">
        <v>126</v>
      </c>
      <c r="BZ32" s="271"/>
      <c r="CA32" s="278"/>
      <c r="CB32" s="273"/>
      <c r="CC32" s="279"/>
      <c r="CE32" s="193" t="s">
        <v>126</v>
      </c>
      <c r="CF32" s="198" t="s">
        <v>61</v>
      </c>
      <c r="CG32" s="317" t="s">
        <v>61</v>
      </c>
      <c r="CH32" s="318"/>
    </row>
    <row r="33" spans="2:86" ht="15.75" customHeight="1" thickBot="1" x14ac:dyDescent="0.3">
      <c r="B33" s="353" t="s">
        <v>127</v>
      </c>
      <c r="C33" s="354"/>
      <c r="D33" s="354"/>
      <c r="E33" s="354"/>
      <c r="F33" s="355" t="s">
        <v>62</v>
      </c>
      <c r="G33" s="355"/>
      <c r="H33" s="355"/>
      <c r="I33" s="356"/>
      <c r="J33" s="29"/>
      <c r="K33" s="59" t="s">
        <v>128</v>
      </c>
      <c r="L33" s="60" t="s">
        <v>76</v>
      </c>
      <c r="M33" s="61" t="s">
        <v>226</v>
      </c>
      <c r="N33" s="62" t="s">
        <v>83</v>
      </c>
      <c r="O33" s="63" t="s">
        <v>83</v>
      </c>
      <c r="P33" s="64" t="s">
        <v>83</v>
      </c>
      <c r="Q33" s="65" t="s">
        <v>83</v>
      </c>
      <c r="R33" s="62" t="s">
        <v>61</v>
      </c>
      <c r="S33" s="329" t="s">
        <v>84</v>
      </c>
      <c r="T33" s="65" t="s">
        <v>85</v>
      </c>
      <c r="U33" s="62" t="s">
        <v>62</v>
      </c>
      <c r="V33" s="68" t="s">
        <v>62</v>
      </c>
      <c r="W33" s="99" t="s">
        <v>86</v>
      </c>
      <c r="X33" s="178" t="s">
        <v>86</v>
      </c>
      <c r="Z33" s="59" t="s">
        <v>128</v>
      </c>
      <c r="AA33" s="235">
        <v>16.05</v>
      </c>
      <c r="AB33" s="69">
        <v>30.465726373427099</v>
      </c>
      <c r="AC33" s="236">
        <v>15.49</v>
      </c>
      <c r="AD33" s="69">
        <v>33.325937568148802</v>
      </c>
      <c r="AE33" s="1"/>
      <c r="AF33" s="70" t="s">
        <v>76</v>
      </c>
      <c r="AG33" s="183">
        <f>AVERAGE(AA24:AA33)</f>
        <v>16.053346366528299</v>
      </c>
      <c r="AH33" s="72">
        <f>AVERAGE(AB24:AB33)</f>
        <v>29.35955653405523</v>
      </c>
      <c r="AI33" s="202">
        <f>AVERAGE(AC24:AC33)</f>
        <v>16.144136449482367</v>
      </c>
      <c r="AJ33" s="72">
        <f>AVERAGE(AD24:AD33)</f>
        <v>30.237649248106163</v>
      </c>
      <c r="AK33" s="1"/>
      <c r="AL33" s="1"/>
      <c r="AM33" s="59" t="s">
        <v>128</v>
      </c>
      <c r="AN33" s="231">
        <v>17.510000000000002</v>
      </c>
      <c r="AO33" s="188">
        <v>28.62</v>
      </c>
      <c r="AP33" s="231">
        <v>15.92</v>
      </c>
      <c r="AQ33" s="188">
        <v>28.49</v>
      </c>
      <c r="AR33" s="258"/>
      <c r="AS33" s="221"/>
      <c r="AT33" s="258"/>
      <c r="AU33" s="221"/>
      <c r="AV33" s="258"/>
      <c r="AW33" s="221"/>
      <c r="AX33" s="258"/>
      <c r="AY33" s="221"/>
      <c r="BA33" s="59" t="s">
        <v>128</v>
      </c>
      <c r="BB33" s="87">
        <v>1</v>
      </c>
      <c r="BC33" s="298">
        <v>16.22</v>
      </c>
      <c r="BD33" s="299">
        <v>29.93</v>
      </c>
      <c r="BE33" s="291">
        <v>16.010000000000002</v>
      </c>
      <c r="BF33" s="293">
        <v>29.86</v>
      </c>
      <c r="BG33" s="291">
        <v>16.18</v>
      </c>
      <c r="BH33" s="293">
        <v>31.08</v>
      </c>
      <c r="BI33" s="291">
        <v>14.85</v>
      </c>
      <c r="BJ33" s="293">
        <v>32.36</v>
      </c>
      <c r="BK33" s="291">
        <v>15.09</v>
      </c>
      <c r="BL33" s="293">
        <v>31.15</v>
      </c>
      <c r="BN33" s="311"/>
      <c r="BO33" s="221"/>
      <c r="BP33" s="311"/>
      <c r="BQ33" s="221"/>
      <c r="BR33" s="311"/>
      <c r="BS33" s="221"/>
      <c r="BT33" s="220"/>
      <c r="BU33" s="221"/>
      <c r="BV33" s="220"/>
      <c r="BW33" s="221"/>
      <c r="BY33" s="194" t="s">
        <v>128</v>
      </c>
      <c r="BZ33" s="284">
        <v>1</v>
      </c>
      <c r="CA33" s="285">
        <v>1</v>
      </c>
      <c r="CB33" s="286" t="s">
        <v>64</v>
      </c>
      <c r="CC33" s="287">
        <v>29.64</v>
      </c>
      <c r="CE33" s="194" t="s">
        <v>128</v>
      </c>
      <c r="CF33" s="284">
        <v>1</v>
      </c>
      <c r="CG33" s="319">
        <v>1</v>
      </c>
      <c r="CH33" s="315" t="s">
        <v>87</v>
      </c>
    </row>
    <row r="34" spans="2:86" ht="15.75" customHeight="1" x14ac:dyDescent="0.25">
      <c r="B34" s="357" t="s">
        <v>129</v>
      </c>
      <c r="C34" s="358"/>
      <c r="D34" s="358"/>
      <c r="E34" s="359"/>
      <c r="F34" s="360" t="s">
        <v>62</v>
      </c>
      <c r="G34" s="361"/>
      <c r="H34" s="361"/>
      <c r="I34" s="362"/>
      <c r="J34" s="29"/>
      <c r="U34" s="91"/>
      <c r="V34" s="91"/>
      <c r="Z34" s="92" t="s">
        <v>130</v>
      </c>
      <c r="AA34" s="42">
        <v>17.71</v>
      </c>
      <c r="AB34" s="43">
        <v>28.324904451384501</v>
      </c>
      <c r="AC34" s="42">
        <v>17.760000000000002</v>
      </c>
      <c r="AD34" s="43">
        <v>29.210346370212601</v>
      </c>
      <c r="AK34" s="1"/>
      <c r="AL34" s="1"/>
      <c r="AM34" s="93" t="s">
        <v>130</v>
      </c>
      <c r="AN34" s="73">
        <v>19.57</v>
      </c>
      <c r="AO34" s="185">
        <v>27.15</v>
      </c>
      <c r="AP34" s="73">
        <v>18.829999999999998</v>
      </c>
      <c r="AQ34" s="185">
        <v>27.48</v>
      </c>
      <c r="AR34" s="255"/>
      <c r="AS34" s="256"/>
      <c r="AT34" s="257"/>
      <c r="AU34" s="213"/>
      <c r="AV34" s="257"/>
      <c r="AW34" s="213"/>
      <c r="AX34" s="257"/>
      <c r="AY34" s="213"/>
      <c r="BA34" s="93" t="s">
        <v>130</v>
      </c>
      <c r="BB34" s="44" t="s">
        <v>61</v>
      </c>
      <c r="BC34" s="300">
        <v>16.37</v>
      </c>
      <c r="BD34" s="292">
        <v>29.28</v>
      </c>
      <c r="BE34" s="301"/>
      <c r="BF34" s="302"/>
      <c r="BG34" s="301"/>
      <c r="BH34" s="302"/>
      <c r="BI34" s="301"/>
      <c r="BJ34" s="302"/>
      <c r="BK34" s="301"/>
      <c r="BL34" s="302"/>
      <c r="BN34" s="249"/>
      <c r="BO34" s="250"/>
      <c r="BP34" s="249"/>
      <c r="BQ34" s="250"/>
      <c r="BR34" s="249"/>
      <c r="BS34" s="250"/>
      <c r="BT34" s="249"/>
      <c r="BU34" s="250"/>
      <c r="BV34" s="249"/>
      <c r="BW34" s="250"/>
      <c r="BY34" s="93" t="s">
        <v>130</v>
      </c>
      <c r="BZ34" s="58" t="s">
        <v>61</v>
      </c>
      <c r="CA34" s="74" t="s">
        <v>61</v>
      </c>
      <c r="CB34" s="197">
        <v>12.93</v>
      </c>
      <c r="CC34" s="43" t="s">
        <v>64</v>
      </c>
    </row>
    <row r="35" spans="2:86" ht="15.75" thickBot="1" x14ac:dyDescent="0.3">
      <c r="B35" s="347" t="s">
        <v>131</v>
      </c>
      <c r="C35" s="348"/>
      <c r="D35" s="348"/>
      <c r="E35" s="349"/>
      <c r="F35" s="350" t="s">
        <v>62</v>
      </c>
      <c r="G35" s="351"/>
      <c r="H35" s="351"/>
      <c r="I35" s="352"/>
      <c r="U35" s="1"/>
      <c r="V35" s="1"/>
      <c r="W35" s="1"/>
      <c r="X35" s="94"/>
      <c r="Z35" s="95" t="s">
        <v>132</v>
      </c>
      <c r="AA35" s="45" t="s">
        <v>64</v>
      </c>
      <c r="AB35" s="54">
        <v>29.255344018672801</v>
      </c>
      <c r="AC35" s="45" t="s">
        <v>64</v>
      </c>
      <c r="AD35" s="54">
        <v>29.431372965017001</v>
      </c>
      <c r="AK35" s="1"/>
      <c r="AL35" s="1"/>
      <c r="AM35" s="96" t="s">
        <v>132</v>
      </c>
      <c r="AN35" s="182" t="s">
        <v>64</v>
      </c>
      <c r="AO35" s="187">
        <v>28.12</v>
      </c>
      <c r="AP35" s="182" t="s">
        <v>64</v>
      </c>
      <c r="AQ35" s="185">
        <v>28.36</v>
      </c>
      <c r="AR35" s="182" t="s">
        <v>64</v>
      </c>
      <c r="AS35" s="185">
        <v>27.93</v>
      </c>
      <c r="AT35" s="182" t="s">
        <v>64</v>
      </c>
      <c r="AU35" s="185">
        <v>28.07</v>
      </c>
      <c r="AV35" s="182" t="s">
        <v>64</v>
      </c>
      <c r="AW35" s="185">
        <v>27.86</v>
      </c>
      <c r="AX35" s="182" t="s">
        <v>64</v>
      </c>
      <c r="AY35" s="260">
        <v>28.2</v>
      </c>
      <c r="BA35" s="96" t="s">
        <v>132</v>
      </c>
      <c r="BB35" s="55" t="s">
        <v>61</v>
      </c>
      <c r="BC35" s="189" t="s">
        <v>64</v>
      </c>
      <c r="BD35" s="54">
        <v>29.27</v>
      </c>
      <c r="BE35" s="216"/>
      <c r="BF35" s="270"/>
      <c r="BG35" s="216"/>
      <c r="BH35" s="270"/>
      <c r="BI35" s="216"/>
      <c r="BJ35" s="270"/>
      <c r="BK35" s="216"/>
      <c r="BL35" s="270"/>
      <c r="BN35" s="251"/>
      <c r="BO35" s="252"/>
      <c r="BP35" s="251"/>
      <c r="BQ35" s="252"/>
      <c r="BR35" s="251"/>
      <c r="BS35" s="252"/>
      <c r="BT35" s="251"/>
      <c r="BU35" s="252"/>
      <c r="BV35" s="251"/>
      <c r="BW35" s="252"/>
      <c r="BY35" s="96" t="s">
        <v>132</v>
      </c>
      <c r="BZ35" s="97" t="s">
        <v>61</v>
      </c>
      <c r="CA35" s="55" t="s">
        <v>61</v>
      </c>
      <c r="CB35" s="200" t="s">
        <v>64</v>
      </c>
      <c r="CC35" s="53">
        <v>29.65</v>
      </c>
    </row>
    <row r="36" spans="2:86" ht="15.75" thickBot="1" x14ac:dyDescent="0.3">
      <c r="U36" s="98"/>
      <c r="V36" s="76"/>
      <c r="W36" s="76"/>
      <c r="X36" s="94"/>
      <c r="Z36" s="95" t="s">
        <v>133</v>
      </c>
      <c r="AA36" s="45" t="s">
        <v>64</v>
      </c>
      <c r="AB36" s="54">
        <v>28.872719293064002</v>
      </c>
      <c r="AC36" s="45" t="s">
        <v>64</v>
      </c>
      <c r="AD36" s="54">
        <v>29.417428269389699</v>
      </c>
      <c r="AK36" s="1"/>
      <c r="AL36" s="1"/>
      <c r="AM36" s="99" t="s">
        <v>134</v>
      </c>
      <c r="AN36" s="183" t="s">
        <v>64</v>
      </c>
      <c r="AO36" s="188">
        <v>28.13</v>
      </c>
      <c r="AP36" s="220"/>
      <c r="AQ36" s="259"/>
      <c r="AR36" s="220"/>
      <c r="AS36" s="259"/>
      <c r="AT36" s="220"/>
      <c r="AU36" s="259"/>
      <c r="AV36" s="220"/>
      <c r="AW36" s="259"/>
      <c r="AX36" s="220"/>
      <c r="AY36" s="259"/>
      <c r="BA36" s="99" t="s">
        <v>134</v>
      </c>
      <c r="BB36" s="87" t="s">
        <v>61</v>
      </c>
      <c r="BC36" s="190" t="s">
        <v>64</v>
      </c>
      <c r="BD36" s="72">
        <v>28.96</v>
      </c>
      <c r="BE36" s="220"/>
      <c r="BF36" s="259"/>
      <c r="BG36" s="220"/>
      <c r="BH36" s="259"/>
      <c r="BI36" s="220"/>
      <c r="BJ36" s="259"/>
      <c r="BK36" s="220"/>
      <c r="BL36" s="259"/>
      <c r="BN36" s="253"/>
      <c r="BO36" s="254"/>
      <c r="BP36" s="253"/>
      <c r="BQ36" s="254"/>
      <c r="BR36" s="253"/>
      <c r="BS36" s="254"/>
      <c r="BT36" s="253"/>
      <c r="BU36" s="254"/>
      <c r="BV36" s="253"/>
      <c r="BW36" s="254"/>
      <c r="BY36" s="99" t="s">
        <v>134</v>
      </c>
      <c r="BZ36" s="71" t="s">
        <v>61</v>
      </c>
      <c r="CA36" s="87" t="s">
        <v>61</v>
      </c>
      <c r="CB36" s="202" t="s">
        <v>64</v>
      </c>
      <c r="CC36" s="69">
        <v>29.03</v>
      </c>
    </row>
    <row r="37" spans="2:86" ht="15.75" customHeight="1" thickBot="1" x14ac:dyDescent="0.3">
      <c r="B37" s="100" t="s">
        <v>135</v>
      </c>
      <c r="T37" s="101"/>
      <c r="U37" s="102"/>
      <c r="V37" s="76"/>
      <c r="W37" s="76"/>
      <c r="X37" s="94"/>
      <c r="Z37" s="103" t="s">
        <v>134</v>
      </c>
      <c r="AA37" s="59" t="s">
        <v>64</v>
      </c>
      <c r="AB37" s="72">
        <v>29.0833157033912</v>
      </c>
      <c r="AC37" s="59" t="s">
        <v>64</v>
      </c>
      <c r="AD37" s="72">
        <v>29.1829660016191</v>
      </c>
      <c r="AK37" s="1"/>
      <c r="AL37" s="1"/>
      <c r="AM37" s="91" t="s">
        <v>136</v>
      </c>
      <c r="BA37" s="1" t="s">
        <v>137</v>
      </c>
      <c r="BY37" s="1" t="s">
        <v>138</v>
      </c>
    </row>
    <row r="38" spans="2:86" ht="15.75" thickBot="1" x14ac:dyDescent="0.3">
      <c r="B38" s="4" t="s">
        <v>139</v>
      </c>
      <c r="U38" s="102"/>
      <c r="V38" s="76"/>
      <c r="W38" s="76"/>
      <c r="X38" s="94"/>
      <c r="Z38" s="1" t="s">
        <v>140</v>
      </c>
      <c r="AA38" s="1"/>
      <c r="AB38" s="1"/>
      <c r="AC38" s="1"/>
      <c r="AD38" s="1"/>
      <c r="AE38" s="1"/>
      <c r="AM38" s="1" t="s">
        <v>141</v>
      </c>
    </row>
    <row r="39" spans="2:86" ht="15.75" thickBot="1" x14ac:dyDescent="0.3">
      <c r="B39" s="1" t="s">
        <v>142</v>
      </c>
      <c r="C39" s="104">
        <v>45540</v>
      </c>
      <c r="K39" s="105" t="s">
        <v>143</v>
      </c>
      <c r="L39" s="106" t="s">
        <v>86</v>
      </c>
      <c r="M39" s="107" t="s">
        <v>63</v>
      </c>
      <c r="N39" s="107" t="s">
        <v>144</v>
      </c>
      <c r="O39" s="108" t="s">
        <v>145</v>
      </c>
      <c r="Q39" s="109" t="s">
        <v>146</v>
      </c>
      <c r="R39" s="110">
        <f>L42/SUM(L42,O42)</f>
        <v>1</v>
      </c>
      <c r="U39" s="102"/>
      <c r="V39" s="76"/>
      <c r="W39" s="76"/>
      <c r="Z39" s="91"/>
      <c r="AA39" s="1"/>
      <c r="AB39" s="1"/>
      <c r="AC39" s="1"/>
      <c r="AD39" s="1"/>
      <c r="AE39" s="1"/>
      <c r="AM39" s="1" t="s">
        <v>147</v>
      </c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  <c r="AX39" s="111"/>
      <c r="AY39" s="111"/>
    </row>
    <row r="40" spans="2:86" ht="15" customHeight="1" x14ac:dyDescent="0.25">
      <c r="B40" s="1" t="s">
        <v>148</v>
      </c>
      <c r="C40" s="104">
        <v>45541</v>
      </c>
      <c r="K40" s="112" t="s">
        <v>149</v>
      </c>
      <c r="L40" s="30">
        <f>COUNTIF($W$9:$W$13,L39)</f>
        <v>0</v>
      </c>
      <c r="M40" s="113">
        <f>COUNTIF($W$9:$W$13,M39)</f>
        <v>5</v>
      </c>
      <c r="N40" s="113">
        <f>COUNTIF($W$9:$W$13,N39)</f>
        <v>0</v>
      </c>
      <c r="O40" s="74">
        <f>COUNTIF($W$9:$W$13,O39)</f>
        <v>0</v>
      </c>
      <c r="Q40" s="114" t="s">
        <v>150</v>
      </c>
      <c r="R40" s="115">
        <f>M42/SUM(M42,N42)</f>
        <v>1</v>
      </c>
      <c r="U40" s="102"/>
      <c r="X40" s="116"/>
      <c r="AP40" s="117"/>
      <c r="AS40" s="117"/>
      <c r="AT40" s="118"/>
      <c r="AU40" s="111"/>
      <c r="AV40" s="111"/>
      <c r="AW40" s="111"/>
      <c r="AX40" s="111"/>
      <c r="AY40" s="111"/>
      <c r="AZ40" s="111"/>
      <c r="BA40" s="111"/>
      <c r="BB40" s="111"/>
      <c r="BC40" s="111"/>
      <c r="BD40" s="111"/>
      <c r="BE40" s="111"/>
      <c r="BF40" s="111"/>
    </row>
    <row r="41" spans="2:86" ht="15" customHeight="1" thickBot="1" x14ac:dyDescent="0.3">
      <c r="B41" s="1" t="s">
        <v>151</v>
      </c>
      <c r="C41" s="102" t="s">
        <v>152</v>
      </c>
      <c r="K41" s="119" t="s">
        <v>153</v>
      </c>
      <c r="L41" s="59">
        <f>COUNTIF($W$14:$W$33,L39)</f>
        <v>10</v>
      </c>
      <c r="M41" s="120">
        <f>COUNTIF($W$14:$W$33,M39)</f>
        <v>10</v>
      </c>
      <c r="N41" s="120">
        <f>COUNTIF($W$14:$W$33,N39)</f>
        <v>0</v>
      </c>
      <c r="O41" s="87">
        <f>COUNTIF($W$14:$W$33,O39)</f>
        <v>0</v>
      </c>
      <c r="Q41" s="114" t="s">
        <v>154</v>
      </c>
      <c r="R41" s="115">
        <f>1-R39</f>
        <v>0</v>
      </c>
      <c r="U41" s="98"/>
      <c r="V41" s="121"/>
      <c r="W41" s="121"/>
      <c r="X41" s="116"/>
      <c r="AJ41" s="118"/>
      <c r="AK41" s="111"/>
      <c r="AL41" s="111"/>
      <c r="AM41" s="122"/>
      <c r="AP41" s="117"/>
      <c r="AS41" s="117"/>
      <c r="AT41" s="122"/>
      <c r="AU41" s="117"/>
      <c r="AV41" s="117"/>
      <c r="AW41" s="117"/>
      <c r="AX41" s="117"/>
      <c r="AY41" s="117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</row>
    <row r="42" spans="2:86" ht="15.75" thickBot="1" x14ac:dyDescent="0.3">
      <c r="L42" s="2">
        <f>SUM(L40:L41)</f>
        <v>10</v>
      </c>
      <c r="M42" s="2">
        <f>SUM(M40:M41)</f>
        <v>15</v>
      </c>
      <c r="N42" s="2">
        <f>SUM(N40:N41)</f>
        <v>0</v>
      </c>
      <c r="O42" s="2">
        <f>SUM(O40:O41)</f>
        <v>0</v>
      </c>
      <c r="Q42" s="114" t="s">
        <v>155</v>
      </c>
      <c r="R42" s="123">
        <f>1-R40</f>
        <v>0</v>
      </c>
      <c r="V42" s="121"/>
      <c r="W42" s="121"/>
      <c r="X42" s="116"/>
      <c r="AF42" s="118"/>
      <c r="AG42" s="111"/>
      <c r="AH42" s="111"/>
      <c r="AI42" s="111"/>
      <c r="AJ42" s="122"/>
      <c r="AK42" s="117"/>
      <c r="AL42" s="117"/>
      <c r="AM42" s="122"/>
      <c r="AP42" s="117"/>
      <c r="AS42" s="117"/>
      <c r="AT42" s="122"/>
      <c r="AU42" s="117"/>
      <c r="AV42" s="117"/>
      <c r="AW42" s="117"/>
      <c r="AX42" s="117"/>
      <c r="AY42" s="117"/>
      <c r="AZ42" s="2"/>
      <c r="BA42" s="101"/>
      <c r="BB42" s="101"/>
      <c r="BC42" s="101"/>
      <c r="BD42" s="101"/>
      <c r="BE42" s="101"/>
      <c r="BF42" s="101"/>
      <c r="BG42" s="101"/>
      <c r="BH42" s="101"/>
      <c r="BI42" s="101"/>
      <c r="BJ42" s="101"/>
      <c r="BK42" s="101"/>
      <c r="BL42" s="101"/>
    </row>
    <row r="43" spans="2:86" ht="15.75" customHeight="1" thickBot="1" x14ac:dyDescent="0.3">
      <c r="B43" s="124" t="s">
        <v>156</v>
      </c>
      <c r="C43" s="125" t="s">
        <v>157</v>
      </c>
      <c r="D43" s="126" t="s">
        <v>158</v>
      </c>
      <c r="E43" s="124" t="s">
        <v>159</v>
      </c>
      <c r="L43" s="2"/>
      <c r="M43" s="2"/>
      <c r="N43" s="2"/>
      <c r="O43" s="2"/>
      <c r="Q43" s="127" t="s">
        <v>160</v>
      </c>
      <c r="R43" s="128">
        <f>SUM(L42:M42)/SUM(L42:O42)</f>
        <v>1</v>
      </c>
      <c r="V43" s="121"/>
      <c r="W43" s="121"/>
      <c r="X43" s="116"/>
      <c r="AF43" s="122"/>
      <c r="AG43" s="117"/>
      <c r="AH43" s="117"/>
      <c r="AI43" s="117"/>
      <c r="AJ43" s="122"/>
      <c r="AK43" s="117"/>
      <c r="AL43" s="117"/>
      <c r="AM43" s="122"/>
      <c r="AP43" s="117"/>
      <c r="AS43" s="117"/>
      <c r="AT43" s="122"/>
      <c r="AU43" s="117"/>
      <c r="AV43" s="117"/>
      <c r="AW43" s="117"/>
      <c r="AX43" s="117"/>
      <c r="AY43" s="117"/>
      <c r="AZ43" s="2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</row>
    <row r="44" spans="2:86" x14ac:dyDescent="0.25">
      <c r="B44" s="129">
        <v>1E-4</v>
      </c>
      <c r="C44" s="130" t="s">
        <v>161</v>
      </c>
      <c r="D44" s="131" t="s">
        <v>161</v>
      </c>
      <c r="E44" s="112">
        <f>E45*10</f>
        <v>6000</v>
      </c>
      <c r="R44" s="102"/>
      <c r="V44" s="121"/>
      <c r="W44" s="121"/>
      <c r="AF44" s="122"/>
      <c r="AG44" s="117"/>
      <c r="AH44" s="117"/>
      <c r="AI44" s="117"/>
      <c r="AJ44" s="122"/>
      <c r="AK44" s="117"/>
      <c r="AL44" s="117"/>
      <c r="AM44" s="122"/>
      <c r="AP44" s="117"/>
      <c r="AS44" s="117"/>
      <c r="AT44" s="122"/>
      <c r="AU44" s="117"/>
      <c r="AV44" s="117"/>
      <c r="AW44" s="117"/>
      <c r="AX44" s="117"/>
      <c r="AY44" s="117"/>
      <c r="AZ44" s="2"/>
      <c r="BA44" s="101"/>
      <c r="BB44" s="101"/>
      <c r="BC44" s="101"/>
      <c r="BD44" s="101"/>
      <c r="BE44" s="101"/>
      <c r="BF44" s="101"/>
      <c r="BG44" s="101"/>
      <c r="BH44" s="101"/>
      <c r="BI44" s="101"/>
      <c r="BJ44" s="101"/>
      <c r="BK44" s="101"/>
      <c r="BL44" s="101"/>
    </row>
    <row r="45" spans="2:86" ht="15.75" thickBot="1" x14ac:dyDescent="0.3">
      <c r="B45" s="208">
        <v>1.0000000000000001E-5</v>
      </c>
      <c r="C45" s="209">
        <v>64</v>
      </c>
      <c r="D45" s="210">
        <v>56</v>
      </c>
      <c r="E45" s="211">
        <f>SUM(C45:D45)/0.2</f>
        <v>600</v>
      </c>
      <c r="R45" s="102"/>
      <c r="V45" s="121"/>
      <c r="W45" s="121"/>
      <c r="X45" s="121"/>
      <c r="AF45" s="122"/>
      <c r="AG45" s="117"/>
      <c r="AH45" s="117"/>
      <c r="AI45" s="117"/>
      <c r="AJ45" s="122"/>
      <c r="AK45" s="117"/>
      <c r="AL45" s="117"/>
      <c r="AM45" s="117"/>
      <c r="AN45" s="117"/>
      <c r="AO45" s="117"/>
      <c r="AP45" s="117"/>
      <c r="AQ45" s="117"/>
      <c r="AR45" s="117"/>
      <c r="AS45" s="117"/>
      <c r="AT45" s="122"/>
      <c r="AU45" s="117"/>
      <c r="AV45" s="117"/>
      <c r="AW45" s="117"/>
      <c r="AX45" s="117"/>
      <c r="AY45" s="117"/>
      <c r="AZ45" s="2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</row>
    <row r="46" spans="2:86" ht="15.75" thickBot="1" x14ac:dyDescent="0.3">
      <c r="B46" s="133">
        <v>9.9999999999999995E-7</v>
      </c>
      <c r="C46" s="134">
        <v>6</v>
      </c>
      <c r="D46" s="135">
        <v>4</v>
      </c>
      <c r="E46" s="136">
        <f>E45/10</f>
        <v>60</v>
      </c>
      <c r="F46" s="1" t="s">
        <v>162</v>
      </c>
      <c r="K46" s="105" t="s">
        <v>54</v>
      </c>
      <c r="L46" s="106" t="s">
        <v>86</v>
      </c>
      <c r="M46" s="107" t="s">
        <v>63</v>
      </c>
      <c r="N46" s="107" t="s">
        <v>144</v>
      </c>
      <c r="O46" s="108" t="s">
        <v>145</v>
      </c>
      <c r="Q46" s="109" t="s">
        <v>146</v>
      </c>
      <c r="R46" s="110">
        <f>L49/SUM(L49,O49)</f>
        <v>1</v>
      </c>
      <c r="AF46" s="122"/>
      <c r="AG46" s="117"/>
      <c r="AH46" s="117"/>
      <c r="AI46" s="117"/>
      <c r="AJ46" s="122"/>
      <c r="AK46" s="117"/>
      <c r="AL46" s="117"/>
      <c r="AM46" s="117"/>
      <c r="AN46" s="117"/>
      <c r="AO46" s="117"/>
      <c r="AP46" s="117"/>
      <c r="AQ46" s="117"/>
      <c r="AR46" s="117"/>
      <c r="AS46" s="117"/>
      <c r="AT46" s="122"/>
      <c r="AU46" s="137"/>
      <c r="AV46" s="137"/>
      <c r="AW46" s="137"/>
      <c r="AX46" s="137"/>
      <c r="AY46" s="137"/>
      <c r="AZ46" s="2"/>
      <c r="BA46" s="101"/>
      <c r="BB46" s="101"/>
      <c r="BC46" s="101"/>
      <c r="BD46" s="101"/>
      <c r="BE46" s="101"/>
      <c r="BF46" s="101"/>
      <c r="BG46" s="101"/>
      <c r="BH46" s="101"/>
      <c r="BI46" s="101"/>
      <c r="BJ46" s="101"/>
      <c r="BK46" s="101"/>
      <c r="BL46" s="101"/>
    </row>
    <row r="47" spans="2:86" x14ac:dyDescent="0.25">
      <c r="B47" s="1" t="s">
        <v>163</v>
      </c>
      <c r="K47" s="112" t="s">
        <v>149</v>
      </c>
      <c r="L47" s="30">
        <f>COUNTIF($X$9:$X$13,L46)</f>
        <v>0</v>
      </c>
      <c r="M47" s="113">
        <f t="shared" ref="M47:O47" si="0">COUNTIF($X$9:$X$13,M46)</f>
        <v>5</v>
      </c>
      <c r="N47" s="113">
        <f t="shared" si="0"/>
        <v>0</v>
      </c>
      <c r="O47" s="74">
        <f t="shared" si="0"/>
        <v>0</v>
      </c>
      <c r="Q47" s="114" t="s">
        <v>150</v>
      </c>
      <c r="R47" s="115">
        <f>M49/SUM(M49,N49)</f>
        <v>1</v>
      </c>
      <c r="AF47" s="122"/>
      <c r="AG47" s="117"/>
      <c r="AH47" s="117"/>
      <c r="AI47" s="117"/>
      <c r="AJ47" s="122"/>
      <c r="AK47" s="117"/>
      <c r="AL47" s="117"/>
      <c r="AM47" s="117"/>
      <c r="AN47" s="117"/>
      <c r="AO47" s="117"/>
      <c r="AP47" s="117"/>
      <c r="AQ47" s="117"/>
      <c r="AR47" s="117"/>
      <c r="AZ47" s="2"/>
      <c r="BA47" s="101"/>
      <c r="BB47" s="101"/>
      <c r="BC47" s="101"/>
      <c r="BD47" s="101"/>
      <c r="BE47" s="101"/>
      <c r="BF47" s="101"/>
      <c r="BG47" s="101"/>
      <c r="BH47" s="101"/>
      <c r="BI47" s="101"/>
      <c r="BJ47" s="101"/>
      <c r="BK47" s="101"/>
      <c r="BL47" s="101"/>
    </row>
    <row r="48" spans="2:86" ht="15.75" thickBot="1" x14ac:dyDescent="0.3">
      <c r="K48" s="119" t="s">
        <v>153</v>
      </c>
      <c r="L48" s="59">
        <f>COUNTIF($X$14:$X$33,L46)</f>
        <v>10</v>
      </c>
      <c r="M48" s="120">
        <f t="shared" ref="M48:O48" si="1">COUNTIF($X$14:$X$33,M46)</f>
        <v>10</v>
      </c>
      <c r="N48" s="120">
        <f t="shared" si="1"/>
        <v>0</v>
      </c>
      <c r="O48" s="87">
        <f t="shared" si="1"/>
        <v>0</v>
      </c>
      <c r="Q48" s="114" t="s">
        <v>154</v>
      </c>
      <c r="R48" s="115">
        <f>1-R46</f>
        <v>0</v>
      </c>
      <c r="AF48" s="122"/>
      <c r="AG48" s="117"/>
      <c r="AH48" s="117"/>
      <c r="AI48" s="117"/>
      <c r="AJ48" s="122"/>
      <c r="AK48" s="117"/>
      <c r="AL48" s="117"/>
      <c r="AZ48" s="2"/>
      <c r="BA48" s="101"/>
      <c r="BB48" s="101"/>
      <c r="BC48" s="101"/>
      <c r="BD48" s="101"/>
      <c r="BE48" s="101"/>
      <c r="BF48" s="101"/>
      <c r="BG48" s="101"/>
      <c r="BH48" s="101"/>
      <c r="BI48" s="101"/>
      <c r="BJ48" s="101"/>
      <c r="BK48" s="101"/>
      <c r="BL48" s="101"/>
    </row>
    <row r="49" spans="2:77" x14ac:dyDescent="0.25">
      <c r="B49" s="4"/>
      <c r="L49" s="2">
        <f>SUM(L47:L48)</f>
        <v>10</v>
      </c>
      <c r="M49" s="2">
        <f>SUM(M47:M48)</f>
        <v>15</v>
      </c>
      <c r="N49" s="2">
        <f>SUM(N47:N48)</f>
        <v>0</v>
      </c>
      <c r="O49" s="2">
        <f>SUM(O47:O48)</f>
        <v>0</v>
      </c>
      <c r="Q49" s="114" t="s">
        <v>155</v>
      </c>
      <c r="R49" s="123">
        <f>1-R47</f>
        <v>0</v>
      </c>
      <c r="AF49" s="122"/>
      <c r="AG49" s="117"/>
      <c r="AH49" s="117"/>
      <c r="AI49" s="117"/>
      <c r="AJ49" s="122"/>
      <c r="AK49" s="117"/>
      <c r="AL49" s="117"/>
      <c r="AZ49" s="2"/>
      <c r="BA49" s="101"/>
      <c r="BB49" s="101"/>
      <c r="BC49" s="101"/>
      <c r="BD49" s="101"/>
      <c r="BE49" s="101"/>
      <c r="BF49" s="101"/>
      <c r="BG49" s="101"/>
      <c r="BH49" s="101"/>
      <c r="BI49" s="101"/>
      <c r="BJ49" s="101"/>
      <c r="BK49" s="101"/>
      <c r="BL49" s="101"/>
    </row>
    <row r="50" spans="2:77" ht="15.75" thickBot="1" x14ac:dyDescent="0.3">
      <c r="C50" s="145"/>
      <c r="Q50" s="127" t="s">
        <v>160</v>
      </c>
      <c r="R50" s="128">
        <f>SUM(L49:M49)/SUM(L49:O49)</f>
        <v>1</v>
      </c>
      <c r="AF50" s="122"/>
      <c r="AG50" s="117"/>
      <c r="AH50" s="117"/>
      <c r="AI50" s="117"/>
      <c r="AJ50" s="117"/>
      <c r="AK50" s="117"/>
      <c r="AL50" s="117"/>
    </row>
    <row r="51" spans="2:77" x14ac:dyDescent="0.25">
      <c r="C51" s="145"/>
      <c r="M51" s="138"/>
      <c r="N51" s="139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2:77" x14ac:dyDescent="0.25">
      <c r="C52" s="145"/>
      <c r="M52" s="140"/>
      <c r="N52" s="102"/>
      <c r="P52" s="140"/>
      <c r="Q52" s="102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T52" s="141"/>
      <c r="AU52" s="141"/>
      <c r="AV52" s="141"/>
      <c r="AW52" s="141"/>
    </row>
    <row r="53" spans="2:77" x14ac:dyDescent="0.25">
      <c r="AT53" s="141"/>
      <c r="AU53" s="141"/>
      <c r="AV53" s="141"/>
      <c r="AW53" s="141"/>
    </row>
    <row r="54" spans="2:77" x14ac:dyDescent="0.25">
      <c r="AT54" s="141"/>
      <c r="AU54" s="141"/>
      <c r="AV54" s="141"/>
      <c r="AW54" s="141"/>
    </row>
    <row r="55" spans="2:77" x14ac:dyDescent="0.25">
      <c r="B55" s="100" t="s">
        <v>164</v>
      </c>
      <c r="AT55" s="141"/>
      <c r="AU55" s="141"/>
      <c r="AV55" s="141"/>
      <c r="AW55" s="141"/>
      <c r="BA55" s="1" t="s">
        <v>165</v>
      </c>
      <c r="BY55" s="1" t="s">
        <v>166</v>
      </c>
    </row>
    <row r="56" spans="2:77" ht="15.75" thickBot="1" x14ac:dyDescent="0.3">
      <c r="B56" s="4" t="s">
        <v>139</v>
      </c>
      <c r="C56" s="104"/>
      <c r="E56" s="4" t="s">
        <v>167</v>
      </c>
      <c r="Z56" s="1" t="s">
        <v>168</v>
      </c>
      <c r="AM56" s="1" t="s">
        <v>169</v>
      </c>
      <c r="AT56" s="141"/>
      <c r="AU56" s="141"/>
      <c r="AV56" s="141"/>
      <c r="AW56" s="141"/>
    </row>
    <row r="57" spans="2:77" x14ac:dyDescent="0.25">
      <c r="B57" s="1" t="s">
        <v>142</v>
      </c>
      <c r="C57" s="104">
        <v>45541</v>
      </c>
      <c r="E57" s="109">
        <v>1</v>
      </c>
      <c r="F57" s="142">
        <v>1</v>
      </c>
      <c r="G57" s="142">
        <v>0</v>
      </c>
      <c r="H57" s="143">
        <v>0</v>
      </c>
      <c r="I57" s="102" t="s">
        <v>170</v>
      </c>
      <c r="J57" s="144">
        <f>IFERROR(AVERAGE(E57:H61),"-")</f>
        <v>0.9</v>
      </c>
      <c r="K57" s="1" t="s">
        <v>171</v>
      </c>
      <c r="AT57" s="141"/>
      <c r="AU57" s="141"/>
      <c r="AV57" s="141"/>
      <c r="AW57" s="141"/>
    </row>
    <row r="58" spans="2:77" x14ac:dyDescent="0.25">
      <c r="B58" s="1" t="s">
        <v>148</v>
      </c>
      <c r="C58" s="145">
        <v>45542</v>
      </c>
      <c r="E58" s="114">
        <v>1</v>
      </c>
      <c r="F58" s="146">
        <v>1</v>
      </c>
      <c r="G58" s="146">
        <v>0</v>
      </c>
      <c r="H58" s="147">
        <v>0</v>
      </c>
      <c r="I58" s="102" t="s">
        <v>172</v>
      </c>
      <c r="J58" s="102">
        <f>COUNTIF(E57:H61,"&gt;0")</f>
        <v>12</v>
      </c>
      <c r="K58" s="1" t="str">
        <f>"   &lt;&lt;  "&amp;J58/SUM(J58:J59)*100&amp;"%"</f>
        <v xml:space="preserve">   &lt;&lt;  60%</v>
      </c>
      <c r="AT58" s="141"/>
      <c r="AU58" s="141"/>
      <c r="AV58" s="141"/>
      <c r="AW58" s="141"/>
    </row>
    <row r="59" spans="2:77" x14ac:dyDescent="0.25">
      <c r="B59" s="1" t="s">
        <v>151</v>
      </c>
      <c r="C59" s="102" t="s">
        <v>152</v>
      </c>
      <c r="E59" s="114">
        <v>2</v>
      </c>
      <c r="F59" s="146">
        <v>1</v>
      </c>
      <c r="G59" s="146">
        <v>0</v>
      </c>
      <c r="H59" s="147">
        <v>0</v>
      </c>
      <c r="I59" s="102" t="s">
        <v>173</v>
      </c>
      <c r="J59" s="102">
        <f>COUNTIF(E57:H61,"=0")</f>
        <v>8</v>
      </c>
      <c r="K59" s="1" t="str">
        <f>"   &lt;&lt;  "&amp;J59/SUM(J58:J59)*100&amp;"%"</f>
        <v xml:space="preserve">   &lt;&lt;  40%</v>
      </c>
      <c r="AT59" s="141"/>
      <c r="AU59" s="141"/>
      <c r="AV59" s="141"/>
      <c r="AW59" s="141"/>
    </row>
    <row r="60" spans="2:77" x14ac:dyDescent="0.25">
      <c r="E60" s="114">
        <v>4</v>
      </c>
      <c r="F60" s="146">
        <v>2</v>
      </c>
      <c r="G60" s="146">
        <v>0</v>
      </c>
      <c r="H60" s="147">
        <v>1</v>
      </c>
      <c r="I60" s="102"/>
      <c r="J60" s="148"/>
      <c r="AT60" s="141"/>
      <c r="AU60" s="141"/>
      <c r="AV60" s="141"/>
      <c r="AW60" s="141"/>
    </row>
    <row r="61" spans="2:77" ht="15.75" thickBot="1" x14ac:dyDescent="0.3">
      <c r="E61" s="127">
        <v>1</v>
      </c>
      <c r="F61" s="149">
        <v>1</v>
      </c>
      <c r="G61" s="149">
        <v>0</v>
      </c>
      <c r="H61" s="150">
        <v>2</v>
      </c>
      <c r="I61" s="102"/>
      <c r="J61" s="102"/>
      <c r="AT61" s="141"/>
      <c r="AU61" s="141"/>
      <c r="AV61" s="141"/>
      <c r="AW61" s="141"/>
    </row>
    <row r="62" spans="2:77" x14ac:dyDescent="0.25">
      <c r="I62" s="102"/>
      <c r="J62" s="102"/>
      <c r="AT62" s="141"/>
      <c r="AU62" s="141"/>
      <c r="AV62" s="141"/>
      <c r="AW62" s="141"/>
    </row>
    <row r="63" spans="2:77" x14ac:dyDescent="0.25">
      <c r="I63" s="102"/>
      <c r="J63" s="102"/>
      <c r="AT63" s="141"/>
      <c r="AU63" s="141"/>
      <c r="AV63" s="141"/>
      <c r="AW63" s="141"/>
    </row>
    <row r="64" spans="2:77" x14ac:dyDescent="0.25">
      <c r="I64" s="102"/>
      <c r="J64" s="102"/>
      <c r="AT64" s="141"/>
      <c r="AU64" s="141"/>
      <c r="AV64" s="141"/>
      <c r="AW64" s="141"/>
    </row>
    <row r="65" spans="2:10" x14ac:dyDescent="0.25">
      <c r="I65" s="102"/>
      <c r="J65" s="102"/>
    </row>
    <row r="66" spans="2:10" x14ac:dyDescent="0.25">
      <c r="B66" s="100" t="s">
        <v>174</v>
      </c>
    </row>
    <row r="67" spans="2:10" x14ac:dyDescent="0.25">
      <c r="B67" s="4" t="s">
        <v>175</v>
      </c>
      <c r="C67" s="104"/>
    </row>
    <row r="68" spans="2:10" x14ac:dyDescent="0.25">
      <c r="B68" s="1" t="s">
        <v>176</v>
      </c>
      <c r="C68" s="104">
        <v>45544</v>
      </c>
    </row>
    <row r="69" spans="2:10" x14ac:dyDescent="0.25">
      <c r="B69" s="1" t="s">
        <v>148</v>
      </c>
      <c r="C69" s="145">
        <v>45546</v>
      </c>
    </row>
    <row r="70" spans="2:10" x14ac:dyDescent="0.25">
      <c r="B70" s="1" t="s">
        <v>151</v>
      </c>
      <c r="C70" s="102" t="s">
        <v>177</v>
      </c>
    </row>
    <row r="71" spans="2:10" ht="15.75" thickBot="1" x14ac:dyDescent="0.3"/>
    <row r="72" spans="2:10" ht="15.75" thickBot="1" x14ac:dyDescent="0.3">
      <c r="B72" s="151" t="s">
        <v>156</v>
      </c>
      <c r="C72" s="152" t="s">
        <v>157</v>
      </c>
      <c r="D72" s="153" t="s">
        <v>158</v>
      </c>
      <c r="E72" s="151" t="s">
        <v>178</v>
      </c>
    </row>
    <row r="73" spans="2:10" x14ac:dyDescent="0.25">
      <c r="B73" s="154">
        <v>0.1</v>
      </c>
      <c r="C73" s="155" t="s">
        <v>179</v>
      </c>
      <c r="D73" s="156" t="s">
        <v>179</v>
      </c>
      <c r="E73" s="157"/>
    </row>
    <row r="74" spans="2:10" x14ac:dyDescent="0.25">
      <c r="B74" s="158">
        <v>0.01</v>
      </c>
      <c r="C74" s="159" t="s">
        <v>179</v>
      </c>
      <c r="D74" s="160" t="s">
        <v>179</v>
      </c>
      <c r="E74" s="161"/>
    </row>
    <row r="75" spans="2:10" x14ac:dyDescent="0.25">
      <c r="B75" s="158">
        <v>1E-3</v>
      </c>
      <c r="C75" s="159" t="s">
        <v>179</v>
      </c>
      <c r="D75" s="160" t="s">
        <v>179</v>
      </c>
      <c r="E75" s="162"/>
    </row>
    <row r="76" spans="2:10" x14ac:dyDescent="0.25">
      <c r="B76" s="163">
        <v>1E-4</v>
      </c>
      <c r="C76" s="159" t="s">
        <v>179</v>
      </c>
      <c r="D76" s="160" t="s">
        <v>179</v>
      </c>
      <c r="E76" s="164"/>
    </row>
    <row r="77" spans="2:10" x14ac:dyDescent="0.25">
      <c r="B77" s="158">
        <v>1.0000000000000001E-5</v>
      </c>
      <c r="C77" s="159" t="s">
        <v>179</v>
      </c>
      <c r="D77" s="160" t="s">
        <v>179</v>
      </c>
      <c r="E77" s="164"/>
      <c r="G77" s="165"/>
    </row>
    <row r="78" spans="2:10" x14ac:dyDescent="0.25">
      <c r="B78" s="281">
        <v>9.9999999999999995E-7</v>
      </c>
      <c r="C78" s="282">
        <v>73</v>
      </c>
      <c r="D78" s="283">
        <v>67</v>
      </c>
      <c r="E78" s="206">
        <f>SUM(C78:D78)/(2*B78)</f>
        <v>70000000</v>
      </c>
      <c r="G78" s="165"/>
    </row>
    <row r="79" spans="2:10" ht="15.75" thickBot="1" x14ac:dyDescent="0.3">
      <c r="B79" s="166">
        <v>9.9999999999999995E-8</v>
      </c>
      <c r="C79" s="167">
        <v>5</v>
      </c>
      <c r="D79" s="168">
        <v>7</v>
      </c>
      <c r="E79" s="169"/>
    </row>
    <row r="80" spans="2:10" x14ac:dyDescent="0.25">
      <c r="B80" s="1" t="s">
        <v>163</v>
      </c>
    </row>
    <row r="82" spans="2:5" x14ac:dyDescent="0.25">
      <c r="B82" s="4" t="s">
        <v>180</v>
      </c>
      <c r="C82" s="104"/>
    </row>
    <row r="83" spans="2:5" x14ac:dyDescent="0.25">
      <c r="B83" s="1" t="s">
        <v>176</v>
      </c>
      <c r="C83" s="104">
        <v>45544</v>
      </c>
    </row>
    <row r="84" spans="2:5" x14ac:dyDescent="0.25">
      <c r="B84" s="1" t="s">
        <v>148</v>
      </c>
      <c r="C84" s="145">
        <v>45546</v>
      </c>
    </row>
    <row r="85" spans="2:5" x14ac:dyDescent="0.25">
      <c r="B85" s="1" t="s">
        <v>151</v>
      </c>
      <c r="C85" s="102" t="s">
        <v>177</v>
      </c>
    </row>
    <row r="86" spans="2:5" ht="15.75" thickBot="1" x14ac:dyDescent="0.3"/>
    <row r="87" spans="2:5" ht="15.75" thickBot="1" x14ac:dyDescent="0.3">
      <c r="B87" s="151" t="s">
        <v>156</v>
      </c>
      <c r="C87" s="152" t="s">
        <v>157</v>
      </c>
      <c r="D87" s="153" t="s">
        <v>158</v>
      </c>
      <c r="E87" s="151" t="s">
        <v>178</v>
      </c>
    </row>
    <row r="88" spans="2:5" x14ac:dyDescent="0.25">
      <c r="B88" s="129">
        <v>0.1</v>
      </c>
      <c r="C88" s="155" t="s">
        <v>179</v>
      </c>
      <c r="D88" s="156" t="s">
        <v>179</v>
      </c>
      <c r="E88" s="112"/>
    </row>
    <row r="89" spans="2:5" x14ac:dyDescent="0.25">
      <c r="B89" s="208">
        <v>0.01</v>
      </c>
      <c r="C89" s="282">
        <v>296</v>
      </c>
      <c r="D89" s="283">
        <v>292</v>
      </c>
      <c r="E89" s="232">
        <f>SUM(C89:D89)/(2*B89)</f>
        <v>29400</v>
      </c>
    </row>
    <row r="90" spans="2:5" x14ac:dyDescent="0.25">
      <c r="B90" s="170">
        <v>1E-3</v>
      </c>
      <c r="C90" s="159">
        <v>32</v>
      </c>
      <c r="D90" s="160">
        <v>27</v>
      </c>
      <c r="E90" s="132"/>
    </row>
    <row r="91" spans="2:5" x14ac:dyDescent="0.25">
      <c r="B91" s="172">
        <v>1E-4</v>
      </c>
      <c r="C91" s="159">
        <v>4</v>
      </c>
      <c r="D91" s="160">
        <v>4</v>
      </c>
      <c r="E91" s="171"/>
    </row>
    <row r="92" spans="2:5" x14ac:dyDescent="0.25">
      <c r="B92" s="170">
        <v>1.0000000000000001E-5</v>
      </c>
      <c r="C92" s="159">
        <v>2</v>
      </c>
      <c r="D92" s="160">
        <v>0</v>
      </c>
      <c r="E92" s="171"/>
    </row>
    <row r="93" spans="2:5" x14ac:dyDescent="0.25">
      <c r="B93" s="170">
        <v>9.9999999999999995E-7</v>
      </c>
      <c r="C93" s="159">
        <v>0</v>
      </c>
      <c r="D93" s="160">
        <v>0</v>
      </c>
      <c r="E93" s="170"/>
    </row>
    <row r="94" spans="2:5" ht="15.75" thickBot="1" x14ac:dyDescent="0.3">
      <c r="B94" s="133">
        <v>9.9999999999999995E-8</v>
      </c>
      <c r="C94" s="134">
        <v>0</v>
      </c>
      <c r="D94" s="135">
        <v>0</v>
      </c>
      <c r="E94" s="207"/>
    </row>
    <row r="95" spans="2:5" x14ac:dyDescent="0.25">
      <c r="B95" s="1" t="s">
        <v>163</v>
      </c>
    </row>
    <row r="133" spans="2:8" x14ac:dyDescent="0.25">
      <c r="B133" s="3"/>
      <c r="H133" s="3"/>
    </row>
    <row r="150" spans="2:2" x14ac:dyDescent="0.25">
      <c r="B150" s="3"/>
    </row>
  </sheetData>
  <mergeCells count="85">
    <mergeCell ref="CH7:CH8"/>
    <mergeCell ref="AC7:AD7"/>
    <mergeCell ref="CB7:CC7"/>
    <mergeCell ref="BR7:BS7"/>
    <mergeCell ref="BT7:BU7"/>
    <mergeCell ref="Z7:Z8"/>
    <mergeCell ref="AA7:AB7"/>
    <mergeCell ref="CE7:CE8"/>
    <mergeCell ref="CF7:CF8"/>
    <mergeCell ref="CG7:CG8"/>
    <mergeCell ref="B8:I8"/>
    <mergeCell ref="BI7:BJ7"/>
    <mergeCell ref="BK7:BL7"/>
    <mergeCell ref="BN7:BO7"/>
    <mergeCell ref="BP7:BQ7"/>
    <mergeCell ref="AX7:AY7"/>
    <mergeCell ref="BA7:BA8"/>
    <mergeCell ref="BB7:BB8"/>
    <mergeCell ref="BC7:BD7"/>
    <mergeCell ref="BE7:BF7"/>
    <mergeCell ref="BG7:BH7"/>
    <mergeCell ref="AM7:AM8"/>
    <mergeCell ref="AN7:AO7"/>
    <mergeCell ref="N7:Q7"/>
    <mergeCell ref="U7:V7"/>
    <mergeCell ref="W7:X7"/>
    <mergeCell ref="AI10:AJ10"/>
    <mergeCell ref="BV7:BW7"/>
    <mergeCell ref="BY7:BY8"/>
    <mergeCell ref="BZ7:BZ8"/>
    <mergeCell ref="CA7:CA8"/>
    <mergeCell ref="AP7:AQ7"/>
    <mergeCell ref="AR7:AS7"/>
    <mergeCell ref="AT7:AU7"/>
    <mergeCell ref="AV7:AW7"/>
    <mergeCell ref="B9:E9"/>
    <mergeCell ref="F9:I9"/>
    <mergeCell ref="B10:E10"/>
    <mergeCell ref="F10:I10"/>
    <mergeCell ref="AG10:AH10"/>
    <mergeCell ref="B18:E18"/>
    <mergeCell ref="F18:I18"/>
    <mergeCell ref="B11:E11"/>
    <mergeCell ref="F11:I11"/>
    <mergeCell ref="B12:E12"/>
    <mergeCell ref="F12:I12"/>
    <mergeCell ref="B13:E13"/>
    <mergeCell ref="F13:I13"/>
    <mergeCell ref="B14:E14"/>
    <mergeCell ref="F14:I14"/>
    <mergeCell ref="B16:I16"/>
    <mergeCell ref="B17:E17"/>
    <mergeCell ref="F17:I17"/>
    <mergeCell ref="B19:E19"/>
    <mergeCell ref="F19:I19"/>
    <mergeCell ref="B20:E20"/>
    <mergeCell ref="F20:I20"/>
    <mergeCell ref="B21:E21"/>
    <mergeCell ref="F21:I21"/>
    <mergeCell ref="B23:G23"/>
    <mergeCell ref="H23:I23"/>
    <mergeCell ref="B24:E24"/>
    <mergeCell ref="F24:I24"/>
    <mergeCell ref="B25:E25"/>
    <mergeCell ref="F25:I25"/>
    <mergeCell ref="B26:E26"/>
    <mergeCell ref="F26:I26"/>
    <mergeCell ref="B28:G28"/>
    <mergeCell ref="H28:I28"/>
    <mergeCell ref="B29:E29"/>
    <mergeCell ref="F29:I29"/>
    <mergeCell ref="B30:E30"/>
    <mergeCell ref="F30:I30"/>
    <mergeCell ref="AG30:AH30"/>
    <mergeCell ref="AI30:AJ30"/>
    <mergeCell ref="B31:E31"/>
    <mergeCell ref="F31:I31"/>
    <mergeCell ref="B35:E35"/>
    <mergeCell ref="F35:I35"/>
    <mergeCell ref="B32:E32"/>
    <mergeCell ref="F32:I32"/>
    <mergeCell ref="B33:E33"/>
    <mergeCell ref="F33:I33"/>
    <mergeCell ref="B34:E34"/>
    <mergeCell ref="F34:I34"/>
  </mergeCells>
  <phoneticPr fontId="12" type="noConversion"/>
  <pageMargins left="0.7" right="0.7" top="0.75" bottom="0.75" header="0.3" footer="0.3"/>
  <pageSetup orientation="portrait" r:id="rId1"/>
  <headerFooter>
    <oddHeader>&amp;R&amp;"Calibri"&amp;12&amp;K000000 Unclassified / Non classifié&amp;1#_x000D_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330AD-A37C-4D93-88C3-967111AFC166}">
  <dimension ref="B2:CH150"/>
  <sheetViews>
    <sheetView zoomScale="90" zoomScaleNormal="90" workbookViewId="0">
      <selection activeCell="C3" sqref="C3"/>
    </sheetView>
  </sheetViews>
  <sheetFormatPr defaultColWidth="11.42578125" defaultRowHeight="15" x14ac:dyDescent="0.25"/>
  <cols>
    <col min="1" max="1" width="11.42578125" style="1"/>
    <col min="2" max="2" width="17.140625" style="1" customWidth="1"/>
    <col min="3" max="4" width="12.28515625" style="1" customWidth="1"/>
    <col min="5" max="8" width="11.42578125" style="1"/>
    <col min="9" max="9" width="12.42578125" style="1" customWidth="1"/>
    <col min="10" max="10" width="11.42578125" style="1"/>
    <col min="11" max="11" width="15.28515625" style="1" customWidth="1"/>
    <col min="12" max="12" width="18.85546875" style="1" customWidth="1"/>
    <col min="13" max="13" width="12.5703125" style="1" customWidth="1"/>
    <col min="14" max="15" width="13.5703125" style="1" customWidth="1"/>
    <col min="16" max="17" width="12.42578125" style="1" customWidth="1"/>
    <col min="18" max="19" width="13.42578125" style="1" customWidth="1"/>
    <col min="20" max="20" width="15.140625" style="1" customWidth="1"/>
    <col min="21" max="21" width="18.140625" style="2" customWidth="1"/>
    <col min="22" max="24" width="17.28515625" style="2" customWidth="1"/>
    <col min="25" max="25" width="11.42578125" style="1"/>
    <col min="26" max="26" width="14.7109375" style="1" customWidth="1"/>
    <col min="27" max="30" width="10.5703125" style="2" customWidth="1"/>
    <col min="31" max="31" width="2.85546875" style="2" customWidth="1"/>
    <col min="32" max="32" width="10.85546875" style="2" customWidth="1"/>
    <col min="33" max="38" width="7.85546875" style="2" customWidth="1"/>
    <col min="39" max="39" width="14.42578125" style="1" customWidth="1"/>
    <col min="40" max="52" width="11.42578125" style="1"/>
    <col min="53" max="53" width="14" style="1" customWidth="1"/>
    <col min="54" max="64" width="11.42578125" style="1"/>
    <col min="65" max="65" width="2.140625" style="3" customWidth="1"/>
    <col min="66" max="76" width="11.42578125" style="1"/>
    <col min="77" max="77" width="14.85546875" style="1" customWidth="1"/>
    <col min="78" max="82" width="11.42578125" style="1"/>
    <col min="83" max="83" width="14.85546875" style="1" customWidth="1"/>
    <col min="84" max="85" width="11.42578125" style="1"/>
    <col min="86" max="86" width="18.7109375" style="1" customWidth="1"/>
    <col min="87" max="16384" width="11.42578125" style="1"/>
  </cols>
  <sheetData>
    <row r="2" spans="2:86" ht="21" x14ac:dyDescent="0.25">
      <c r="B2" s="173" t="s">
        <v>0</v>
      </c>
      <c r="C2" s="346" t="s">
        <v>228</v>
      </c>
      <c r="D2" s="174"/>
      <c r="H2" s="165"/>
    </row>
    <row r="3" spans="2:86" s="174" customFormat="1" ht="24.75" customHeight="1" x14ac:dyDescent="0.35">
      <c r="B3" s="175" t="s">
        <v>1</v>
      </c>
      <c r="C3" s="174" t="s">
        <v>2</v>
      </c>
      <c r="K3" s="174" t="s">
        <v>3</v>
      </c>
      <c r="U3" s="180"/>
      <c r="V3" s="180"/>
      <c r="W3" s="180"/>
      <c r="X3" s="180"/>
      <c r="Z3" s="173" t="s">
        <v>4</v>
      </c>
      <c r="AA3" s="180"/>
      <c r="AB3" s="180"/>
      <c r="AC3" s="180"/>
      <c r="AD3" s="180"/>
      <c r="AE3" s="180"/>
      <c r="AF3" s="180"/>
      <c r="AG3" s="180"/>
      <c r="AH3" s="180"/>
      <c r="AI3" s="180"/>
      <c r="AJ3" s="180"/>
      <c r="AK3" s="180"/>
      <c r="AL3" s="180"/>
      <c r="AM3" s="173" t="s">
        <v>5</v>
      </c>
      <c r="AN3" s="180"/>
      <c r="AO3" s="180"/>
      <c r="BA3" s="175" t="s">
        <v>6</v>
      </c>
      <c r="BM3" s="181"/>
      <c r="BY3" s="175" t="s">
        <v>7</v>
      </c>
      <c r="CE3" s="173" t="s">
        <v>8</v>
      </c>
    </row>
    <row r="4" spans="2:86" ht="24.75" customHeight="1" x14ac:dyDescent="0.25">
      <c r="B4" s="175" t="s">
        <v>9</v>
      </c>
      <c r="C4" s="174" t="s">
        <v>10</v>
      </c>
      <c r="D4" s="174"/>
      <c r="AN4" s="2"/>
      <c r="AO4" s="2"/>
    </row>
    <row r="5" spans="2:86" ht="24.75" customHeight="1" x14ac:dyDescent="0.25">
      <c r="B5" s="175" t="s">
        <v>11</v>
      </c>
      <c r="C5" s="174" t="s">
        <v>12</v>
      </c>
      <c r="D5" s="174"/>
      <c r="AN5" s="2"/>
      <c r="AO5" s="2"/>
    </row>
    <row r="6" spans="2:86" ht="24.75" customHeight="1" thickBot="1" x14ac:dyDescent="0.3">
      <c r="B6" s="175" t="s">
        <v>13</v>
      </c>
      <c r="C6" s="174" t="s">
        <v>181</v>
      </c>
      <c r="D6" s="174"/>
      <c r="AN6" s="2"/>
      <c r="AO6" s="2"/>
      <c r="BA6" s="1" t="s">
        <v>15</v>
      </c>
      <c r="BN6" s="1" t="s">
        <v>16</v>
      </c>
    </row>
    <row r="7" spans="2:86" ht="15.75" thickBot="1" x14ac:dyDescent="0.3">
      <c r="K7" s="4"/>
      <c r="L7" s="4"/>
      <c r="M7" s="4"/>
      <c r="N7" s="412" t="s">
        <v>17</v>
      </c>
      <c r="O7" s="413"/>
      <c r="P7" s="414"/>
      <c r="Q7" s="415"/>
      <c r="U7" s="416" t="s">
        <v>18</v>
      </c>
      <c r="V7" s="417"/>
      <c r="W7" s="416" t="s">
        <v>19</v>
      </c>
      <c r="X7" s="417"/>
      <c r="Z7" s="418" t="s">
        <v>20</v>
      </c>
      <c r="AA7" s="420" t="s">
        <v>21</v>
      </c>
      <c r="AB7" s="400"/>
      <c r="AC7" s="420" t="s">
        <v>22</v>
      </c>
      <c r="AD7" s="400"/>
      <c r="AE7" s="4"/>
      <c r="AF7" s="4"/>
      <c r="AG7" s="4"/>
      <c r="AH7" s="4"/>
      <c r="AI7" s="4"/>
      <c r="AJ7" s="4"/>
      <c r="AK7" s="4"/>
      <c r="AL7" s="4"/>
      <c r="AM7" s="410" t="s">
        <v>20</v>
      </c>
      <c r="AN7" s="402" t="s">
        <v>23</v>
      </c>
      <c r="AO7" s="403"/>
      <c r="AP7" s="402" t="s">
        <v>24</v>
      </c>
      <c r="AQ7" s="403"/>
      <c r="AR7" s="402" t="s">
        <v>25</v>
      </c>
      <c r="AS7" s="403"/>
      <c r="AT7" s="402" t="s">
        <v>26</v>
      </c>
      <c r="AU7" s="403"/>
      <c r="AV7" s="402" t="s">
        <v>27</v>
      </c>
      <c r="AW7" s="403"/>
      <c r="AX7" s="402" t="s">
        <v>28</v>
      </c>
      <c r="AY7" s="403"/>
      <c r="BA7" s="406" t="s">
        <v>20</v>
      </c>
      <c r="BB7" s="408" t="s">
        <v>29</v>
      </c>
      <c r="BC7" s="394" t="s">
        <v>30</v>
      </c>
      <c r="BD7" s="405"/>
      <c r="BE7" s="394" t="s">
        <v>31</v>
      </c>
      <c r="BF7" s="395"/>
      <c r="BG7" s="404" t="s">
        <v>32</v>
      </c>
      <c r="BH7" s="405"/>
      <c r="BI7" s="394" t="s">
        <v>33</v>
      </c>
      <c r="BJ7" s="395"/>
      <c r="BK7" s="394" t="s">
        <v>34</v>
      </c>
      <c r="BL7" s="395"/>
      <c r="BN7" s="394" t="s">
        <v>35</v>
      </c>
      <c r="BO7" s="395"/>
      <c r="BP7" s="404" t="s">
        <v>36</v>
      </c>
      <c r="BQ7" s="405"/>
      <c r="BR7" s="394" t="s">
        <v>37</v>
      </c>
      <c r="BS7" s="395"/>
      <c r="BT7" s="404" t="s">
        <v>38</v>
      </c>
      <c r="BU7" s="405"/>
      <c r="BV7" s="394" t="s">
        <v>39</v>
      </c>
      <c r="BW7" s="395"/>
      <c r="BY7" s="396" t="s">
        <v>20</v>
      </c>
      <c r="BZ7" s="398" t="s">
        <v>29</v>
      </c>
      <c r="CA7" s="400" t="s">
        <v>40</v>
      </c>
      <c r="CB7" s="368" t="s">
        <v>41</v>
      </c>
      <c r="CC7" s="367"/>
      <c r="CE7" s="421" t="s">
        <v>20</v>
      </c>
      <c r="CF7" s="423" t="s">
        <v>29</v>
      </c>
      <c r="CG7" s="425" t="s">
        <v>40</v>
      </c>
      <c r="CH7" s="427" t="s">
        <v>42</v>
      </c>
    </row>
    <row r="8" spans="2:86" s="4" customFormat="1" ht="15.75" thickBot="1" x14ac:dyDescent="0.3">
      <c r="B8" s="385" t="s">
        <v>43</v>
      </c>
      <c r="C8" s="386"/>
      <c r="D8" s="386"/>
      <c r="E8" s="386"/>
      <c r="F8" s="386"/>
      <c r="G8" s="386"/>
      <c r="H8" s="386"/>
      <c r="I8" s="387"/>
      <c r="J8" s="8"/>
      <c r="K8" s="5" t="s">
        <v>20</v>
      </c>
      <c r="L8" s="6" t="s">
        <v>44</v>
      </c>
      <c r="M8" s="9" t="s">
        <v>45</v>
      </c>
      <c r="N8" s="10" t="s">
        <v>46</v>
      </c>
      <c r="O8" s="11" t="s">
        <v>47</v>
      </c>
      <c r="P8" s="12" t="s">
        <v>48</v>
      </c>
      <c r="Q8" s="13" t="s">
        <v>49</v>
      </c>
      <c r="R8" s="5" t="s">
        <v>41</v>
      </c>
      <c r="S8" s="6" t="s">
        <v>8</v>
      </c>
      <c r="T8" s="9" t="s">
        <v>50</v>
      </c>
      <c r="U8" s="5" t="s">
        <v>51</v>
      </c>
      <c r="V8" s="7" t="s">
        <v>52</v>
      </c>
      <c r="W8" s="14" t="s">
        <v>53</v>
      </c>
      <c r="X8" s="14" t="s">
        <v>54</v>
      </c>
      <c r="Z8" s="419"/>
      <c r="AA8" s="15" t="s">
        <v>55</v>
      </c>
      <c r="AB8" s="16" t="s">
        <v>56</v>
      </c>
      <c r="AC8" s="15" t="s">
        <v>55</v>
      </c>
      <c r="AD8" s="16" t="s">
        <v>56</v>
      </c>
      <c r="AE8" s="2"/>
      <c r="AF8" s="2"/>
      <c r="AG8" s="2"/>
      <c r="AH8" s="2"/>
      <c r="AI8" s="2"/>
      <c r="AJ8" s="2"/>
      <c r="AK8" s="1"/>
      <c r="AL8" s="1"/>
      <c r="AM8" s="411"/>
      <c r="AN8" s="17" t="s">
        <v>55</v>
      </c>
      <c r="AO8" s="18" t="s">
        <v>56</v>
      </c>
      <c r="AP8" s="17" t="s">
        <v>55</v>
      </c>
      <c r="AQ8" s="18" t="s">
        <v>56</v>
      </c>
      <c r="AR8" s="17" t="s">
        <v>55</v>
      </c>
      <c r="AS8" s="18" t="s">
        <v>56</v>
      </c>
      <c r="AT8" s="17" t="s">
        <v>55</v>
      </c>
      <c r="AU8" s="18" t="s">
        <v>56</v>
      </c>
      <c r="AV8" s="17" t="s">
        <v>55</v>
      </c>
      <c r="AW8" s="18" t="s">
        <v>56</v>
      </c>
      <c r="AX8" s="17" t="s">
        <v>55</v>
      </c>
      <c r="AY8" s="18" t="s">
        <v>56</v>
      </c>
      <c r="BA8" s="407"/>
      <c r="BB8" s="409"/>
      <c r="BC8" s="19" t="s">
        <v>55</v>
      </c>
      <c r="BD8" s="20" t="s">
        <v>56</v>
      </c>
      <c r="BE8" s="19" t="s">
        <v>55</v>
      </c>
      <c r="BF8" s="21" t="s">
        <v>56</v>
      </c>
      <c r="BG8" s="22" t="s">
        <v>55</v>
      </c>
      <c r="BH8" s="20" t="s">
        <v>56</v>
      </c>
      <c r="BI8" s="19" t="s">
        <v>55</v>
      </c>
      <c r="BJ8" s="21" t="s">
        <v>56</v>
      </c>
      <c r="BK8" s="19" t="s">
        <v>55</v>
      </c>
      <c r="BL8" s="21" t="s">
        <v>56</v>
      </c>
      <c r="BN8" s="23" t="s">
        <v>55</v>
      </c>
      <c r="BO8" s="24" t="s">
        <v>56</v>
      </c>
      <c r="BP8" s="25" t="s">
        <v>55</v>
      </c>
      <c r="BQ8" s="26" t="s">
        <v>56</v>
      </c>
      <c r="BR8" s="23" t="s">
        <v>55</v>
      </c>
      <c r="BS8" s="24" t="s">
        <v>56</v>
      </c>
      <c r="BT8" s="25" t="s">
        <v>55</v>
      </c>
      <c r="BU8" s="26" t="s">
        <v>56</v>
      </c>
      <c r="BV8" s="23" t="s">
        <v>55</v>
      </c>
      <c r="BW8" s="24" t="s">
        <v>56</v>
      </c>
      <c r="BY8" s="397"/>
      <c r="BZ8" s="399"/>
      <c r="CA8" s="401"/>
      <c r="CB8" s="27" t="s">
        <v>55</v>
      </c>
      <c r="CC8" s="28" t="s">
        <v>56</v>
      </c>
      <c r="CE8" s="422"/>
      <c r="CF8" s="424"/>
      <c r="CG8" s="426"/>
      <c r="CH8" s="428"/>
    </row>
    <row r="9" spans="2:86" ht="15.75" thickBot="1" x14ac:dyDescent="0.3">
      <c r="B9" s="388" t="s">
        <v>57</v>
      </c>
      <c r="C9" s="389"/>
      <c r="D9" s="389"/>
      <c r="E9" s="389"/>
      <c r="F9" s="392">
        <v>45555</v>
      </c>
      <c r="G9" s="390"/>
      <c r="H9" s="390"/>
      <c r="I9" s="391"/>
      <c r="J9" s="29"/>
      <c r="K9" s="30" t="s">
        <v>182</v>
      </c>
      <c r="L9" s="31" t="s">
        <v>59</v>
      </c>
      <c r="M9" s="32" t="s">
        <v>60</v>
      </c>
      <c r="N9" s="33" t="s">
        <v>61</v>
      </c>
      <c r="O9" s="34" t="s">
        <v>61</v>
      </c>
      <c r="P9" s="35" t="s">
        <v>62</v>
      </c>
      <c r="Q9" s="36" t="s">
        <v>62</v>
      </c>
      <c r="R9" s="37" t="s">
        <v>62</v>
      </c>
      <c r="S9" s="38" t="s">
        <v>62</v>
      </c>
      <c r="T9" s="39" t="s">
        <v>60</v>
      </c>
      <c r="U9" s="33" t="s">
        <v>62</v>
      </c>
      <c r="V9" s="40" t="s">
        <v>62</v>
      </c>
      <c r="W9" s="176" t="s">
        <v>63</v>
      </c>
      <c r="X9" s="176" t="s">
        <v>63</v>
      </c>
      <c r="Z9" s="30" t="s">
        <v>182</v>
      </c>
      <c r="AA9" s="33" t="s">
        <v>64</v>
      </c>
      <c r="AB9" s="41">
        <v>29.713500769671299</v>
      </c>
      <c r="AC9" s="33" t="s">
        <v>64</v>
      </c>
      <c r="AD9" s="41">
        <v>29.076976720245899</v>
      </c>
      <c r="AE9" s="1"/>
      <c r="AF9" s="1"/>
      <c r="AG9" s="4" t="s">
        <v>65</v>
      </c>
      <c r="AH9" s="1"/>
      <c r="AI9" s="1"/>
      <c r="AK9" s="1"/>
      <c r="AL9" s="1"/>
      <c r="AM9" s="30" t="s">
        <v>182</v>
      </c>
      <c r="AN9" s="212"/>
      <c r="AO9" s="213"/>
      <c r="AP9" s="212"/>
      <c r="AQ9" s="214"/>
      <c r="AR9" s="212"/>
      <c r="AS9" s="215"/>
      <c r="AT9" s="212"/>
      <c r="AU9" s="215"/>
      <c r="AV9" s="212"/>
      <c r="AW9" s="215"/>
      <c r="AX9" s="212"/>
      <c r="AY9" s="215"/>
      <c r="BA9" s="30" t="s">
        <v>182</v>
      </c>
      <c r="BB9" s="44" t="s">
        <v>61</v>
      </c>
      <c r="BC9" s="237"/>
      <c r="BD9" s="238"/>
      <c r="BE9" s="239"/>
      <c r="BF9" s="240"/>
      <c r="BG9" s="237"/>
      <c r="BH9" s="238"/>
      <c r="BI9" s="239"/>
      <c r="BJ9" s="240"/>
      <c r="BK9" s="239"/>
      <c r="BL9" s="240"/>
      <c r="BN9" s="249"/>
      <c r="BO9" s="250"/>
      <c r="BP9" s="249"/>
      <c r="BQ9" s="250"/>
      <c r="BR9" s="249"/>
      <c r="BS9" s="250"/>
      <c r="BT9" s="249"/>
      <c r="BU9" s="250"/>
      <c r="BV9" s="249"/>
      <c r="BW9" s="250"/>
      <c r="BY9" s="30" t="s">
        <v>182</v>
      </c>
      <c r="BZ9" s="261"/>
      <c r="CA9" s="262"/>
      <c r="CB9" s="237"/>
      <c r="CC9" s="240"/>
      <c r="CE9" s="30" t="s">
        <v>182</v>
      </c>
      <c r="CF9" s="336"/>
      <c r="CG9" s="336"/>
      <c r="CH9" s="240"/>
    </row>
    <row r="10" spans="2:86" x14ac:dyDescent="0.25">
      <c r="B10" s="353" t="s">
        <v>66</v>
      </c>
      <c r="C10" s="354"/>
      <c r="D10" s="354"/>
      <c r="E10" s="354"/>
      <c r="F10" s="393">
        <v>45558</v>
      </c>
      <c r="G10" s="355"/>
      <c r="H10" s="355"/>
      <c r="I10" s="356"/>
      <c r="J10" s="29"/>
      <c r="K10" s="45" t="s">
        <v>183</v>
      </c>
      <c r="L10" s="46" t="s">
        <v>59</v>
      </c>
      <c r="M10" s="47" t="s">
        <v>60</v>
      </c>
      <c r="N10" s="48" t="s">
        <v>61</v>
      </c>
      <c r="O10" s="49" t="s">
        <v>61</v>
      </c>
      <c r="P10" s="50" t="s">
        <v>62</v>
      </c>
      <c r="Q10" s="51" t="s">
        <v>62</v>
      </c>
      <c r="R10" s="48" t="s">
        <v>62</v>
      </c>
      <c r="S10" s="50" t="s">
        <v>62</v>
      </c>
      <c r="T10" s="39" t="s">
        <v>60</v>
      </c>
      <c r="U10" s="48" t="s">
        <v>62</v>
      </c>
      <c r="V10" s="52" t="s">
        <v>62</v>
      </c>
      <c r="W10" s="177" t="s">
        <v>63</v>
      </c>
      <c r="X10" s="177" t="s">
        <v>63</v>
      </c>
      <c r="Z10" s="45" t="s">
        <v>183</v>
      </c>
      <c r="AA10" s="48" t="s">
        <v>64</v>
      </c>
      <c r="AB10" s="53">
        <v>29.8219777514912</v>
      </c>
      <c r="AC10" s="48" t="s">
        <v>64</v>
      </c>
      <c r="AD10" s="53">
        <v>29.198046708085499</v>
      </c>
      <c r="AE10" s="1"/>
      <c r="AG10" s="366" t="s">
        <v>68</v>
      </c>
      <c r="AH10" s="367"/>
      <c r="AI10" s="368" t="s">
        <v>69</v>
      </c>
      <c r="AJ10" s="367"/>
      <c r="AK10" s="1"/>
      <c r="AL10" s="1"/>
      <c r="AM10" s="45" t="s">
        <v>183</v>
      </c>
      <c r="AN10" s="216"/>
      <c r="AO10" s="217"/>
      <c r="AP10" s="216"/>
      <c r="AQ10" s="218"/>
      <c r="AR10" s="216"/>
      <c r="AS10" s="219"/>
      <c r="AT10" s="216"/>
      <c r="AU10" s="219"/>
      <c r="AV10" s="216"/>
      <c r="AW10" s="219"/>
      <c r="AX10" s="216"/>
      <c r="AY10" s="219"/>
      <c r="BA10" s="45" t="s">
        <v>183</v>
      </c>
      <c r="BB10" s="55" t="s">
        <v>61</v>
      </c>
      <c r="BC10" s="241"/>
      <c r="BD10" s="242"/>
      <c r="BE10" s="243"/>
      <c r="BF10" s="244"/>
      <c r="BG10" s="241"/>
      <c r="BH10" s="242"/>
      <c r="BI10" s="243"/>
      <c r="BJ10" s="244"/>
      <c r="BK10" s="243"/>
      <c r="BL10" s="244"/>
      <c r="BN10" s="251"/>
      <c r="BO10" s="252"/>
      <c r="BP10" s="251"/>
      <c r="BQ10" s="252"/>
      <c r="BR10" s="251"/>
      <c r="BS10" s="252"/>
      <c r="BT10" s="251"/>
      <c r="BU10" s="252"/>
      <c r="BV10" s="251"/>
      <c r="BW10" s="252"/>
      <c r="BY10" s="45" t="s">
        <v>183</v>
      </c>
      <c r="BZ10" s="241"/>
      <c r="CA10" s="244"/>
      <c r="CB10" s="241"/>
      <c r="CC10" s="244"/>
      <c r="CE10" s="45" t="s">
        <v>183</v>
      </c>
      <c r="CF10" s="237"/>
      <c r="CG10" s="336"/>
      <c r="CH10" s="240"/>
    </row>
    <row r="11" spans="2:86" ht="15.75" thickBot="1" x14ac:dyDescent="0.3">
      <c r="B11" s="353" t="s">
        <v>70</v>
      </c>
      <c r="C11" s="354"/>
      <c r="D11" s="354"/>
      <c r="E11" s="354"/>
      <c r="F11" s="355" t="s">
        <v>71</v>
      </c>
      <c r="G11" s="355"/>
      <c r="H11" s="355"/>
      <c r="I11" s="356"/>
      <c r="J11" s="29"/>
      <c r="K11" s="45" t="s">
        <v>184</v>
      </c>
      <c r="L11" s="46" t="s">
        <v>76</v>
      </c>
      <c r="M11" s="47" t="s">
        <v>60</v>
      </c>
      <c r="N11" s="48" t="s">
        <v>61</v>
      </c>
      <c r="O11" s="49" t="s">
        <v>61</v>
      </c>
      <c r="P11" s="50" t="s">
        <v>62</v>
      </c>
      <c r="Q11" s="51" t="s">
        <v>62</v>
      </c>
      <c r="R11" s="48" t="s">
        <v>62</v>
      </c>
      <c r="S11" s="50" t="s">
        <v>62</v>
      </c>
      <c r="T11" s="39" t="s">
        <v>60</v>
      </c>
      <c r="U11" s="48" t="s">
        <v>62</v>
      </c>
      <c r="V11" s="52" t="s">
        <v>62</v>
      </c>
      <c r="W11" s="177" t="s">
        <v>63</v>
      </c>
      <c r="X11" s="177" t="s">
        <v>63</v>
      </c>
      <c r="Z11" s="45" t="s">
        <v>184</v>
      </c>
      <c r="AA11" s="48" t="s">
        <v>64</v>
      </c>
      <c r="AB11" s="53">
        <v>29.106629324310401</v>
      </c>
      <c r="AC11" s="48" t="s">
        <v>64</v>
      </c>
      <c r="AD11" s="53">
        <v>28.9953157273088</v>
      </c>
      <c r="AE11" s="1"/>
      <c r="AG11" s="56" t="s">
        <v>55</v>
      </c>
      <c r="AH11" s="28" t="s">
        <v>56</v>
      </c>
      <c r="AI11" s="27" t="s">
        <v>55</v>
      </c>
      <c r="AJ11" s="28" t="s">
        <v>56</v>
      </c>
      <c r="AK11" s="1"/>
      <c r="AL11" s="1"/>
      <c r="AM11" s="45" t="s">
        <v>184</v>
      </c>
      <c r="AN11" s="216"/>
      <c r="AO11" s="217"/>
      <c r="AP11" s="216"/>
      <c r="AQ11" s="218"/>
      <c r="AR11" s="216"/>
      <c r="AS11" s="217"/>
      <c r="AT11" s="216"/>
      <c r="AU11" s="217"/>
      <c r="AV11" s="216"/>
      <c r="AW11" s="217"/>
      <c r="AX11" s="216"/>
      <c r="AY11" s="217"/>
      <c r="BA11" s="45" t="s">
        <v>184</v>
      </c>
      <c r="BB11" s="55" t="s">
        <v>61</v>
      </c>
      <c r="BC11" s="241"/>
      <c r="BD11" s="242"/>
      <c r="BE11" s="243"/>
      <c r="BF11" s="244"/>
      <c r="BG11" s="241"/>
      <c r="BH11" s="242"/>
      <c r="BI11" s="243"/>
      <c r="BJ11" s="244"/>
      <c r="BK11" s="243"/>
      <c r="BL11" s="244"/>
      <c r="BN11" s="251"/>
      <c r="BO11" s="252"/>
      <c r="BP11" s="251"/>
      <c r="BQ11" s="252"/>
      <c r="BR11" s="251"/>
      <c r="BS11" s="252"/>
      <c r="BT11" s="251"/>
      <c r="BU11" s="252"/>
      <c r="BV11" s="251"/>
      <c r="BW11" s="252"/>
      <c r="BY11" s="45" t="s">
        <v>184</v>
      </c>
      <c r="BZ11" s="241"/>
      <c r="CA11" s="244"/>
      <c r="CB11" s="241"/>
      <c r="CC11" s="244"/>
      <c r="CE11" s="45" t="s">
        <v>184</v>
      </c>
      <c r="CF11" s="241"/>
      <c r="CG11" s="335"/>
      <c r="CH11" s="244"/>
    </row>
    <row r="12" spans="2:86" x14ac:dyDescent="0.25">
      <c r="B12" s="357" t="s">
        <v>73</v>
      </c>
      <c r="C12" s="358"/>
      <c r="D12" s="358"/>
      <c r="E12" s="359"/>
      <c r="F12" s="429" t="s">
        <v>185</v>
      </c>
      <c r="G12" s="430"/>
      <c r="H12" s="430"/>
      <c r="I12" s="431"/>
      <c r="J12" s="29"/>
      <c r="K12" s="45" t="s">
        <v>186</v>
      </c>
      <c r="L12" s="46" t="s">
        <v>76</v>
      </c>
      <c r="M12" s="47" t="s">
        <v>60</v>
      </c>
      <c r="N12" s="48" t="s">
        <v>61</v>
      </c>
      <c r="O12" s="49" t="s">
        <v>61</v>
      </c>
      <c r="P12" s="50" t="s">
        <v>62</v>
      </c>
      <c r="Q12" s="51" t="s">
        <v>62</v>
      </c>
      <c r="R12" s="48" t="s">
        <v>62</v>
      </c>
      <c r="S12" s="50" t="s">
        <v>62</v>
      </c>
      <c r="T12" s="39" t="s">
        <v>60</v>
      </c>
      <c r="U12" s="48" t="s">
        <v>62</v>
      </c>
      <c r="V12" s="52" t="s">
        <v>62</v>
      </c>
      <c r="W12" s="177" t="s">
        <v>63</v>
      </c>
      <c r="X12" s="177" t="s">
        <v>63</v>
      </c>
      <c r="Z12" s="45" t="s">
        <v>186</v>
      </c>
      <c r="AA12" s="48" t="s">
        <v>64</v>
      </c>
      <c r="AB12" s="53">
        <v>28.845975653588301</v>
      </c>
      <c r="AC12" s="48" t="s">
        <v>64</v>
      </c>
      <c r="AD12" s="53">
        <v>29.080600396299001</v>
      </c>
      <c r="AE12" s="1"/>
      <c r="AF12" s="57" t="s">
        <v>59</v>
      </c>
      <c r="AG12" s="42" t="s">
        <v>62</v>
      </c>
      <c r="AH12" s="43">
        <f>AVERAGE(AB9:AB11)</f>
        <v>29.547369281824302</v>
      </c>
      <c r="AI12" s="303" t="s">
        <v>62</v>
      </c>
      <c r="AJ12" s="43">
        <f>AVERAGE(AD9:AD11)</f>
        <v>29.090113051880063</v>
      </c>
      <c r="AK12" s="1"/>
      <c r="AL12" s="1"/>
      <c r="AM12" s="45" t="s">
        <v>186</v>
      </c>
      <c r="AN12" s="216"/>
      <c r="AO12" s="217"/>
      <c r="AP12" s="216"/>
      <c r="AQ12" s="218"/>
      <c r="AR12" s="216"/>
      <c r="AS12" s="217"/>
      <c r="AT12" s="216"/>
      <c r="AU12" s="217"/>
      <c r="AV12" s="216"/>
      <c r="AW12" s="217"/>
      <c r="AX12" s="216"/>
      <c r="AY12" s="217"/>
      <c r="BA12" s="45" t="s">
        <v>186</v>
      </c>
      <c r="BB12" s="55" t="s">
        <v>61</v>
      </c>
      <c r="BC12" s="241"/>
      <c r="BD12" s="242"/>
      <c r="BE12" s="243"/>
      <c r="BF12" s="244"/>
      <c r="BG12" s="241"/>
      <c r="BH12" s="242"/>
      <c r="BI12" s="243"/>
      <c r="BJ12" s="244"/>
      <c r="BK12" s="243"/>
      <c r="BL12" s="244"/>
      <c r="BN12" s="251"/>
      <c r="BO12" s="252"/>
      <c r="BP12" s="251"/>
      <c r="BQ12" s="252"/>
      <c r="BR12" s="251"/>
      <c r="BS12" s="252"/>
      <c r="BT12" s="251"/>
      <c r="BU12" s="252"/>
      <c r="BV12" s="251"/>
      <c r="BW12" s="252"/>
      <c r="BY12" s="45" t="s">
        <v>186</v>
      </c>
      <c r="BZ12" s="241"/>
      <c r="CA12" s="244"/>
      <c r="CB12" s="241"/>
      <c r="CC12" s="244"/>
      <c r="CE12" s="45" t="s">
        <v>186</v>
      </c>
      <c r="CF12" s="241"/>
      <c r="CG12" s="335"/>
      <c r="CH12" s="244"/>
    </row>
    <row r="13" spans="2:86" ht="15.75" thickBot="1" x14ac:dyDescent="0.3">
      <c r="B13" s="357" t="s">
        <v>77</v>
      </c>
      <c r="C13" s="358"/>
      <c r="D13" s="358"/>
      <c r="E13" s="359"/>
      <c r="F13" s="355" t="s">
        <v>187</v>
      </c>
      <c r="G13" s="383"/>
      <c r="H13" s="383"/>
      <c r="I13" s="384"/>
      <c r="J13" s="29"/>
      <c r="K13" s="59" t="s">
        <v>188</v>
      </c>
      <c r="L13" s="60" t="s">
        <v>76</v>
      </c>
      <c r="M13" s="61" t="s">
        <v>60</v>
      </c>
      <c r="N13" s="62" t="s">
        <v>61</v>
      </c>
      <c r="O13" s="63" t="s">
        <v>61</v>
      </c>
      <c r="P13" s="64" t="s">
        <v>62</v>
      </c>
      <c r="Q13" s="65" t="s">
        <v>62</v>
      </c>
      <c r="R13" s="66" t="s">
        <v>62</v>
      </c>
      <c r="S13" s="67" t="s">
        <v>62</v>
      </c>
      <c r="T13" s="39" t="s">
        <v>60</v>
      </c>
      <c r="U13" s="62" t="s">
        <v>62</v>
      </c>
      <c r="V13" s="68" t="s">
        <v>62</v>
      </c>
      <c r="W13" s="178" t="s">
        <v>63</v>
      </c>
      <c r="X13" s="178" t="s">
        <v>63</v>
      </c>
      <c r="Z13" s="59" t="s">
        <v>188</v>
      </c>
      <c r="AA13" s="62" t="s">
        <v>64</v>
      </c>
      <c r="AB13" s="69">
        <v>29.500424647231199</v>
      </c>
      <c r="AC13" s="62" t="s">
        <v>64</v>
      </c>
      <c r="AD13" s="69">
        <v>29.104746727645701</v>
      </c>
      <c r="AE13" s="1"/>
      <c r="AF13" s="70" t="s">
        <v>76</v>
      </c>
      <c r="AG13" s="183" t="s">
        <v>62</v>
      </c>
      <c r="AH13" s="72">
        <f>AVERAGE(AB12:AB13)</f>
        <v>29.173200150409748</v>
      </c>
      <c r="AI13" s="202" t="s">
        <v>62</v>
      </c>
      <c r="AJ13" s="72">
        <f>AVERAGE(AD12:AD13)</f>
        <v>29.092673561972351</v>
      </c>
      <c r="AK13" s="1"/>
      <c r="AL13" s="1"/>
      <c r="AM13" s="59" t="s">
        <v>188</v>
      </c>
      <c r="AN13" s="220"/>
      <c r="AO13" s="221"/>
      <c r="AP13" s="220"/>
      <c r="AQ13" s="222"/>
      <c r="AR13" s="220"/>
      <c r="AS13" s="221"/>
      <c r="AT13" s="220"/>
      <c r="AU13" s="221"/>
      <c r="AV13" s="220"/>
      <c r="AW13" s="221"/>
      <c r="AX13" s="220"/>
      <c r="AY13" s="221"/>
      <c r="BA13" s="59" t="s">
        <v>188</v>
      </c>
      <c r="BB13" s="191" t="s">
        <v>61</v>
      </c>
      <c r="BC13" s="245"/>
      <c r="BD13" s="246"/>
      <c r="BE13" s="247"/>
      <c r="BF13" s="248"/>
      <c r="BG13" s="245"/>
      <c r="BH13" s="246"/>
      <c r="BI13" s="247"/>
      <c r="BJ13" s="248"/>
      <c r="BK13" s="247"/>
      <c r="BL13" s="248"/>
      <c r="BN13" s="253"/>
      <c r="BO13" s="254"/>
      <c r="BP13" s="253"/>
      <c r="BQ13" s="254"/>
      <c r="BR13" s="253"/>
      <c r="BS13" s="254"/>
      <c r="BT13" s="253"/>
      <c r="BU13" s="254"/>
      <c r="BV13" s="253"/>
      <c r="BW13" s="254"/>
      <c r="BY13" s="59" t="s">
        <v>188</v>
      </c>
      <c r="BZ13" s="263"/>
      <c r="CA13" s="264"/>
      <c r="CB13" s="245"/>
      <c r="CC13" s="248"/>
      <c r="CE13" s="59" t="s">
        <v>188</v>
      </c>
      <c r="CF13" s="263"/>
      <c r="CG13" s="337"/>
      <c r="CH13" s="264"/>
    </row>
    <row r="14" spans="2:86" ht="15.75" thickBot="1" x14ac:dyDescent="0.3">
      <c r="B14" s="369" t="s">
        <v>80</v>
      </c>
      <c r="C14" s="370"/>
      <c r="D14" s="370"/>
      <c r="E14" s="370"/>
      <c r="F14" s="371" t="s">
        <v>81</v>
      </c>
      <c r="G14" s="371"/>
      <c r="H14" s="371"/>
      <c r="I14" s="372"/>
      <c r="J14" s="29"/>
      <c r="K14" s="30" t="s">
        <v>189</v>
      </c>
      <c r="L14" s="31" t="s">
        <v>59</v>
      </c>
      <c r="M14" s="32" t="s">
        <v>227</v>
      </c>
      <c r="N14" s="33" t="s">
        <v>83</v>
      </c>
      <c r="O14" s="34" t="s">
        <v>83</v>
      </c>
      <c r="P14" s="34" t="s">
        <v>83</v>
      </c>
      <c r="Q14" s="36" t="s">
        <v>83</v>
      </c>
      <c r="R14" s="33" t="s">
        <v>61</v>
      </c>
      <c r="S14" s="327" t="s">
        <v>84</v>
      </c>
      <c r="T14" s="36" t="s">
        <v>85</v>
      </c>
      <c r="U14" s="33" t="s">
        <v>62</v>
      </c>
      <c r="V14" s="40" t="s">
        <v>62</v>
      </c>
      <c r="W14" s="176" t="s">
        <v>86</v>
      </c>
      <c r="X14" s="176" t="s">
        <v>86</v>
      </c>
      <c r="Z14" s="30" t="s">
        <v>189</v>
      </c>
      <c r="AA14" s="307">
        <v>27.626255489064999</v>
      </c>
      <c r="AB14" s="41">
        <v>29.265913615039398</v>
      </c>
      <c r="AC14" s="307">
        <v>27.9473899106179</v>
      </c>
      <c r="AD14" s="41">
        <v>29.0430985326845</v>
      </c>
      <c r="AE14" s="1"/>
      <c r="AG14" s="1"/>
      <c r="AH14" s="1"/>
      <c r="AI14" s="1"/>
      <c r="AJ14" s="1"/>
      <c r="AK14" s="1"/>
      <c r="AL14" s="1"/>
      <c r="AM14" s="30" t="s">
        <v>189</v>
      </c>
      <c r="AN14" s="228">
        <v>19.571194057809802</v>
      </c>
      <c r="AO14" s="43">
        <v>28.79</v>
      </c>
      <c r="AP14" s="257"/>
      <c r="AQ14" s="213"/>
      <c r="AR14" s="255"/>
      <c r="AS14" s="256"/>
      <c r="AT14" s="257"/>
      <c r="AU14" s="213"/>
      <c r="AV14" s="257"/>
      <c r="AW14" s="213"/>
      <c r="AX14" s="257"/>
      <c r="AY14" s="213"/>
      <c r="BA14" s="30" t="s">
        <v>189</v>
      </c>
      <c r="BB14" s="74">
        <v>1</v>
      </c>
      <c r="BC14" s="288">
        <v>17.27</v>
      </c>
      <c r="BD14" s="292">
        <v>28.48</v>
      </c>
      <c r="BE14" s="288">
        <v>16.52</v>
      </c>
      <c r="BF14" s="292">
        <v>28.74</v>
      </c>
      <c r="BG14" s="340"/>
      <c r="BH14" s="302"/>
      <c r="BI14" s="340"/>
      <c r="BJ14" s="302"/>
      <c r="BK14" s="340"/>
      <c r="BL14" s="302"/>
      <c r="BN14" s="249"/>
      <c r="BO14" s="250"/>
      <c r="BP14" s="249"/>
      <c r="BQ14" s="250"/>
      <c r="BR14" s="249"/>
      <c r="BS14" s="250"/>
      <c r="BT14" s="249"/>
      <c r="BU14" s="250"/>
      <c r="BV14" s="249"/>
      <c r="BW14" s="250"/>
      <c r="BY14" s="30" t="s">
        <v>189</v>
      </c>
      <c r="BZ14" s="195">
        <v>1</v>
      </c>
      <c r="CA14" s="196">
        <v>1</v>
      </c>
      <c r="CB14" s="197" t="s">
        <v>64</v>
      </c>
      <c r="CC14" s="43">
        <v>29.522205949001101</v>
      </c>
      <c r="CE14" s="30" t="s">
        <v>189</v>
      </c>
      <c r="CF14" s="195">
        <v>1</v>
      </c>
      <c r="CG14" s="323">
        <v>1</v>
      </c>
      <c r="CH14" s="341" t="s">
        <v>87</v>
      </c>
    </row>
    <row r="15" spans="2:86" ht="15.75" thickBot="1" x14ac:dyDescent="0.3">
      <c r="B15" s="75"/>
      <c r="C15" s="75"/>
      <c r="D15" s="75"/>
      <c r="E15" s="76"/>
      <c r="F15" s="76"/>
      <c r="G15" s="76"/>
      <c r="H15" s="76"/>
      <c r="I15" s="76"/>
      <c r="J15" s="29"/>
      <c r="K15" s="45" t="s">
        <v>190</v>
      </c>
      <c r="L15" s="46" t="s">
        <v>59</v>
      </c>
      <c r="M15" s="47" t="s">
        <v>227</v>
      </c>
      <c r="N15" s="48" t="s">
        <v>83</v>
      </c>
      <c r="O15" s="49" t="s">
        <v>83</v>
      </c>
      <c r="P15" s="49" t="s">
        <v>83</v>
      </c>
      <c r="Q15" s="51" t="s">
        <v>83</v>
      </c>
      <c r="R15" s="48" t="s">
        <v>61</v>
      </c>
      <c r="S15" s="328" t="s">
        <v>84</v>
      </c>
      <c r="T15" s="51" t="s">
        <v>85</v>
      </c>
      <c r="U15" s="48" t="s">
        <v>62</v>
      </c>
      <c r="V15" s="52" t="s">
        <v>62</v>
      </c>
      <c r="W15" s="177" t="s">
        <v>86</v>
      </c>
      <c r="X15" s="177" t="s">
        <v>86</v>
      </c>
      <c r="Z15" s="45" t="s">
        <v>190</v>
      </c>
      <c r="AA15" s="308">
        <v>24.190118375020901</v>
      </c>
      <c r="AB15" s="53">
        <v>29.081733555545298</v>
      </c>
      <c r="AC15" s="308">
        <v>28.480238306258499</v>
      </c>
      <c r="AD15" s="53">
        <v>29.166527550978699</v>
      </c>
      <c r="AE15" s="1"/>
      <c r="AG15" s="1"/>
      <c r="AH15" s="1"/>
      <c r="AI15" s="1"/>
      <c r="AJ15" s="1"/>
      <c r="AK15" s="1"/>
      <c r="AL15" s="1"/>
      <c r="AM15" s="45" t="s">
        <v>190</v>
      </c>
      <c r="AN15" s="229">
        <v>15.489964598786001</v>
      </c>
      <c r="AO15" s="54">
        <v>30.58</v>
      </c>
      <c r="AP15" s="229">
        <v>15.489964598786001</v>
      </c>
      <c r="AQ15" s="54">
        <v>30.41</v>
      </c>
      <c r="AR15" s="216"/>
      <c r="AS15" s="217"/>
      <c r="AT15" s="216"/>
      <c r="AU15" s="217"/>
      <c r="AV15" s="216"/>
      <c r="AW15" s="217"/>
      <c r="AX15" s="216"/>
      <c r="AY15" s="217"/>
      <c r="BA15" s="45" t="s">
        <v>190</v>
      </c>
      <c r="BB15" s="55">
        <v>1</v>
      </c>
      <c r="BC15" s="289">
        <v>16.190000000000001</v>
      </c>
      <c r="BD15" s="293">
        <v>29.9</v>
      </c>
      <c r="BE15" s="289">
        <v>15.59</v>
      </c>
      <c r="BF15" s="293">
        <v>29.98</v>
      </c>
      <c r="BG15" s="291">
        <v>19.350000000000001</v>
      </c>
      <c r="BH15" s="293">
        <v>28.47</v>
      </c>
      <c r="BI15" s="291">
        <v>16.12</v>
      </c>
      <c r="BJ15" s="293">
        <v>29.68</v>
      </c>
      <c r="BK15" s="291">
        <v>16.29</v>
      </c>
      <c r="BL15" s="293">
        <v>30.02</v>
      </c>
      <c r="BN15" s="251"/>
      <c r="BO15" s="252"/>
      <c r="BP15" s="251"/>
      <c r="BQ15" s="252"/>
      <c r="BR15" s="251"/>
      <c r="BS15" s="252"/>
      <c r="BT15" s="251"/>
      <c r="BU15" s="252"/>
      <c r="BV15" s="251"/>
      <c r="BW15" s="252"/>
      <c r="BY15" s="45" t="s">
        <v>190</v>
      </c>
      <c r="BZ15" s="198">
        <v>1</v>
      </c>
      <c r="CA15" s="199">
        <v>1</v>
      </c>
      <c r="CB15" s="200" t="s">
        <v>64</v>
      </c>
      <c r="CC15" s="54">
        <v>29.674337334318</v>
      </c>
      <c r="CE15" s="45" t="s">
        <v>190</v>
      </c>
      <c r="CF15" s="198">
        <v>1</v>
      </c>
      <c r="CG15" s="317">
        <v>1</v>
      </c>
      <c r="CH15" s="342" t="s">
        <v>87</v>
      </c>
    </row>
    <row r="16" spans="2:86" ht="15.75" thickBot="1" x14ac:dyDescent="0.3">
      <c r="B16" s="385" t="s">
        <v>89</v>
      </c>
      <c r="C16" s="386"/>
      <c r="D16" s="386"/>
      <c r="E16" s="386"/>
      <c r="F16" s="386"/>
      <c r="G16" s="386"/>
      <c r="H16" s="386"/>
      <c r="I16" s="387"/>
      <c r="J16" s="29"/>
      <c r="K16" s="45" t="s">
        <v>191</v>
      </c>
      <c r="L16" s="46" t="s">
        <v>59</v>
      </c>
      <c r="M16" s="47" t="s">
        <v>227</v>
      </c>
      <c r="N16" s="48" t="s">
        <v>83</v>
      </c>
      <c r="O16" s="49" t="s">
        <v>83</v>
      </c>
      <c r="P16" s="49" t="s">
        <v>83</v>
      </c>
      <c r="Q16" s="51" t="s">
        <v>83</v>
      </c>
      <c r="R16" s="48" t="s">
        <v>61</v>
      </c>
      <c r="S16" s="328" t="s">
        <v>84</v>
      </c>
      <c r="T16" s="51" t="s">
        <v>85</v>
      </c>
      <c r="U16" s="48" t="s">
        <v>62</v>
      </c>
      <c r="V16" s="52" t="s">
        <v>62</v>
      </c>
      <c r="W16" s="177" t="s">
        <v>86</v>
      </c>
      <c r="X16" s="177" t="s">
        <v>86</v>
      </c>
      <c r="Z16" s="45" t="s">
        <v>191</v>
      </c>
      <c r="AA16" s="308">
        <v>26.451069614982998</v>
      </c>
      <c r="AB16" s="53">
        <v>29.463335713883001</v>
      </c>
      <c r="AC16" s="308">
        <v>28.597173853066199</v>
      </c>
      <c r="AD16" s="53">
        <v>29.171886858441098</v>
      </c>
      <c r="AE16" s="1"/>
      <c r="AK16" s="1"/>
      <c r="AL16" s="1"/>
      <c r="AM16" s="45" t="s">
        <v>191</v>
      </c>
      <c r="AN16" s="229">
        <v>15.563255155924899</v>
      </c>
      <c r="AO16" s="54">
        <v>30.32</v>
      </c>
      <c r="AP16" s="229">
        <v>15.563255155924899</v>
      </c>
      <c r="AQ16" s="54">
        <v>30.46</v>
      </c>
      <c r="AR16" s="216"/>
      <c r="AS16" s="217"/>
      <c r="AT16" s="216"/>
      <c r="AU16" s="217"/>
      <c r="AV16" s="216"/>
      <c r="AW16" s="217"/>
      <c r="AX16" s="216"/>
      <c r="AY16" s="217"/>
      <c r="BA16" s="45" t="s">
        <v>191</v>
      </c>
      <c r="BB16" s="55">
        <v>1</v>
      </c>
      <c r="BC16" s="289">
        <v>15.92</v>
      </c>
      <c r="BD16" s="293">
        <v>29.57</v>
      </c>
      <c r="BE16" s="289">
        <v>16.7</v>
      </c>
      <c r="BF16" s="293">
        <v>28.64</v>
      </c>
      <c r="BG16" s="291">
        <v>16.579999999999998</v>
      </c>
      <c r="BH16" s="293">
        <v>29.11</v>
      </c>
      <c r="BI16" s="291">
        <v>19.559999999999999</v>
      </c>
      <c r="BJ16" s="293">
        <v>28.21</v>
      </c>
      <c r="BK16" s="291">
        <v>18.05</v>
      </c>
      <c r="BL16" s="293">
        <v>28.08</v>
      </c>
      <c r="BN16" s="251"/>
      <c r="BO16" s="252"/>
      <c r="BP16" s="251"/>
      <c r="BQ16" s="252"/>
      <c r="BR16" s="251"/>
      <c r="BS16" s="252"/>
      <c r="BT16" s="251"/>
      <c r="BU16" s="252"/>
      <c r="BV16" s="251"/>
      <c r="BW16" s="252"/>
      <c r="BY16" s="45" t="s">
        <v>191</v>
      </c>
      <c r="BZ16" s="198">
        <v>1</v>
      </c>
      <c r="CA16" s="199">
        <v>1</v>
      </c>
      <c r="CB16" s="200" t="s">
        <v>64</v>
      </c>
      <c r="CC16" s="54">
        <v>30.205698958075001</v>
      </c>
      <c r="CE16" s="45" t="s">
        <v>191</v>
      </c>
      <c r="CF16" s="198">
        <v>1</v>
      </c>
      <c r="CG16" s="317">
        <v>1</v>
      </c>
      <c r="CH16" s="342" t="s">
        <v>87</v>
      </c>
    </row>
    <row r="17" spans="2:86" x14ac:dyDescent="0.25">
      <c r="B17" s="388" t="s">
        <v>91</v>
      </c>
      <c r="C17" s="389"/>
      <c r="D17" s="389"/>
      <c r="E17" s="389"/>
      <c r="F17" s="390" t="s">
        <v>92</v>
      </c>
      <c r="G17" s="390"/>
      <c r="H17" s="390"/>
      <c r="I17" s="391"/>
      <c r="J17" s="29"/>
      <c r="K17" s="45" t="s">
        <v>192</v>
      </c>
      <c r="L17" s="46" t="s">
        <v>59</v>
      </c>
      <c r="M17" s="47" t="s">
        <v>227</v>
      </c>
      <c r="N17" s="48" t="s">
        <v>83</v>
      </c>
      <c r="O17" s="49" t="s">
        <v>83</v>
      </c>
      <c r="P17" s="49" t="s">
        <v>83</v>
      </c>
      <c r="Q17" s="51" t="s">
        <v>83</v>
      </c>
      <c r="R17" s="48" t="s">
        <v>61</v>
      </c>
      <c r="S17" s="328" t="s">
        <v>84</v>
      </c>
      <c r="T17" s="51" t="s">
        <v>85</v>
      </c>
      <c r="U17" s="48" t="s">
        <v>62</v>
      </c>
      <c r="V17" s="52" t="s">
        <v>62</v>
      </c>
      <c r="W17" s="177" t="s">
        <v>86</v>
      </c>
      <c r="X17" s="177" t="s">
        <v>86</v>
      </c>
      <c r="Z17" s="45" t="s">
        <v>192</v>
      </c>
      <c r="AA17" s="308">
        <v>28.789546275252999</v>
      </c>
      <c r="AB17" s="53">
        <v>29.121243850383301</v>
      </c>
      <c r="AC17" s="308">
        <v>29.769164806586701</v>
      </c>
      <c r="AD17" s="53">
        <v>28.880190080126201</v>
      </c>
      <c r="AE17" s="1"/>
      <c r="AK17" s="1"/>
      <c r="AL17" s="1"/>
      <c r="AM17" s="45" t="s">
        <v>192</v>
      </c>
      <c r="AN17" s="229">
        <v>16.767607374859502</v>
      </c>
      <c r="AO17" s="54">
        <v>29.67</v>
      </c>
      <c r="AP17" s="216"/>
      <c r="AQ17" s="217"/>
      <c r="AR17" s="216"/>
      <c r="AS17" s="217"/>
      <c r="AT17" s="216"/>
      <c r="AU17" s="217"/>
      <c r="AV17" s="216"/>
      <c r="AW17" s="217"/>
      <c r="AX17" s="216"/>
      <c r="AY17" s="217"/>
      <c r="BA17" s="45" t="s">
        <v>192</v>
      </c>
      <c r="BB17" s="55">
        <v>1</v>
      </c>
      <c r="BC17" s="289">
        <v>16.75</v>
      </c>
      <c r="BD17" s="293">
        <v>29.01</v>
      </c>
      <c r="BE17" s="289">
        <v>18.3</v>
      </c>
      <c r="BF17" s="293">
        <v>28.18</v>
      </c>
      <c r="BG17" s="291">
        <v>16.66</v>
      </c>
      <c r="BH17" s="293">
        <v>29.18</v>
      </c>
      <c r="BI17" s="223"/>
      <c r="BJ17" s="294"/>
      <c r="BK17" s="223"/>
      <c r="BL17" s="294"/>
      <c r="BN17" s="251"/>
      <c r="BO17" s="252"/>
      <c r="BP17" s="251"/>
      <c r="BQ17" s="252"/>
      <c r="BR17" s="251"/>
      <c r="BS17" s="252"/>
      <c r="BT17" s="251"/>
      <c r="BU17" s="252"/>
      <c r="BV17" s="251"/>
      <c r="BW17" s="252"/>
      <c r="BY17" s="45" t="s">
        <v>192</v>
      </c>
      <c r="BZ17" s="198">
        <v>1</v>
      </c>
      <c r="CA17" s="199">
        <v>1</v>
      </c>
      <c r="CB17" s="200" t="s">
        <v>64</v>
      </c>
      <c r="CC17" s="54">
        <v>29.4179344608654</v>
      </c>
      <c r="CE17" s="45" t="s">
        <v>192</v>
      </c>
      <c r="CF17" s="198">
        <v>1</v>
      </c>
      <c r="CG17" s="317">
        <v>1</v>
      </c>
      <c r="CH17" s="342" t="s">
        <v>87</v>
      </c>
    </row>
    <row r="18" spans="2:86" x14ac:dyDescent="0.25">
      <c r="B18" s="357" t="s">
        <v>94</v>
      </c>
      <c r="C18" s="358"/>
      <c r="D18" s="358"/>
      <c r="E18" s="359"/>
      <c r="F18" s="363" t="s">
        <v>95</v>
      </c>
      <c r="G18" s="364"/>
      <c r="H18" s="364"/>
      <c r="I18" s="365"/>
      <c r="J18" s="29"/>
      <c r="K18" s="45" t="s">
        <v>193</v>
      </c>
      <c r="L18" s="46" t="s">
        <v>59</v>
      </c>
      <c r="M18" s="47" t="s">
        <v>227</v>
      </c>
      <c r="N18" s="48" t="s">
        <v>61</v>
      </c>
      <c r="O18" s="49" t="s">
        <v>61</v>
      </c>
      <c r="P18" s="49" t="s">
        <v>62</v>
      </c>
      <c r="Q18" s="51" t="s">
        <v>62</v>
      </c>
      <c r="R18" s="48" t="s">
        <v>62</v>
      </c>
      <c r="S18" s="50" t="s">
        <v>62</v>
      </c>
      <c r="T18" s="51" t="s">
        <v>60</v>
      </c>
      <c r="U18" s="48" t="s">
        <v>62</v>
      </c>
      <c r="V18" s="52" t="s">
        <v>62</v>
      </c>
      <c r="W18" s="177" t="s">
        <v>63</v>
      </c>
      <c r="X18" s="177" t="s">
        <v>63</v>
      </c>
      <c r="Z18" s="45" t="s">
        <v>193</v>
      </c>
      <c r="AA18" s="77" t="s">
        <v>64</v>
      </c>
      <c r="AB18" s="53">
        <v>29.158337918347598</v>
      </c>
      <c r="AC18" s="77" t="s">
        <v>64</v>
      </c>
      <c r="AD18" s="53">
        <v>29.062410659799902</v>
      </c>
      <c r="AE18" s="1"/>
      <c r="AI18" s="1"/>
      <c r="AJ18" s="1"/>
      <c r="AK18" s="1"/>
      <c r="AL18" s="1"/>
      <c r="AM18" s="45" t="s">
        <v>193</v>
      </c>
      <c r="AN18" s="216"/>
      <c r="AO18" s="217"/>
      <c r="AP18" s="216"/>
      <c r="AQ18" s="217"/>
      <c r="AR18" s="216"/>
      <c r="AS18" s="217"/>
      <c r="AT18" s="216"/>
      <c r="AU18" s="217"/>
      <c r="AV18" s="216"/>
      <c r="AW18" s="217"/>
      <c r="AX18" s="216"/>
      <c r="AY18" s="217"/>
      <c r="BA18" s="45" t="s">
        <v>193</v>
      </c>
      <c r="BB18" s="55" t="s">
        <v>61</v>
      </c>
      <c r="BC18" s="265"/>
      <c r="BD18" s="294"/>
      <c r="BE18" s="265"/>
      <c r="BF18" s="294"/>
      <c r="BG18" s="223"/>
      <c r="BH18" s="294"/>
      <c r="BI18" s="223"/>
      <c r="BJ18" s="294"/>
      <c r="BK18" s="223"/>
      <c r="BL18" s="294"/>
      <c r="BN18" s="251"/>
      <c r="BO18" s="252"/>
      <c r="BP18" s="251"/>
      <c r="BQ18" s="252"/>
      <c r="BR18" s="251"/>
      <c r="BS18" s="252"/>
      <c r="BT18" s="251"/>
      <c r="BU18" s="252"/>
      <c r="BV18" s="251"/>
      <c r="BW18" s="252"/>
      <c r="BY18" s="45" t="s">
        <v>193</v>
      </c>
      <c r="BZ18" s="271"/>
      <c r="CA18" s="272"/>
      <c r="CB18" s="273"/>
      <c r="CC18" s="217"/>
      <c r="CE18" s="45" t="s">
        <v>193</v>
      </c>
      <c r="CF18" s="271"/>
      <c r="CG18" s="338"/>
      <c r="CH18" s="313"/>
    </row>
    <row r="19" spans="2:86" x14ac:dyDescent="0.25">
      <c r="B19" s="353" t="s">
        <v>97</v>
      </c>
      <c r="C19" s="354"/>
      <c r="D19" s="354"/>
      <c r="E19" s="354"/>
      <c r="F19" s="355" t="s">
        <v>194</v>
      </c>
      <c r="G19" s="355"/>
      <c r="H19" s="355"/>
      <c r="I19" s="356"/>
      <c r="J19" s="29"/>
      <c r="K19" s="78" t="s">
        <v>195</v>
      </c>
      <c r="L19" s="46" t="s">
        <v>59</v>
      </c>
      <c r="M19" s="47" t="s">
        <v>227</v>
      </c>
      <c r="N19" s="48" t="s">
        <v>61</v>
      </c>
      <c r="O19" s="49" t="s">
        <v>61</v>
      </c>
      <c r="P19" s="49" t="s">
        <v>62</v>
      </c>
      <c r="Q19" s="51" t="s">
        <v>62</v>
      </c>
      <c r="R19" s="48" t="s">
        <v>62</v>
      </c>
      <c r="S19" s="50" t="s">
        <v>62</v>
      </c>
      <c r="T19" s="51" t="s">
        <v>60</v>
      </c>
      <c r="U19" s="48" t="s">
        <v>62</v>
      </c>
      <c r="V19" s="52" t="s">
        <v>62</v>
      </c>
      <c r="W19" s="177" t="s">
        <v>63</v>
      </c>
      <c r="X19" s="177" t="s">
        <v>63</v>
      </c>
      <c r="Z19" s="78" t="s">
        <v>195</v>
      </c>
      <c r="AA19" s="77" t="s">
        <v>64</v>
      </c>
      <c r="AB19" s="53">
        <v>29.511075359152201</v>
      </c>
      <c r="AC19" s="77" t="s">
        <v>64</v>
      </c>
      <c r="AD19" s="53">
        <v>29.3582516902732</v>
      </c>
      <c r="AE19" s="1"/>
      <c r="AI19" s="1"/>
      <c r="AJ19" s="1"/>
      <c r="AK19" s="1"/>
      <c r="AL19" s="1"/>
      <c r="AM19" s="78" t="s">
        <v>195</v>
      </c>
      <c r="AN19" s="216"/>
      <c r="AO19" s="223"/>
      <c r="AP19" s="216"/>
      <c r="AQ19" s="223"/>
      <c r="AR19" s="216"/>
      <c r="AS19" s="217"/>
      <c r="AT19" s="216"/>
      <c r="AU19" s="217"/>
      <c r="AV19" s="216"/>
      <c r="AW19" s="217"/>
      <c r="AX19" s="216"/>
      <c r="AY19" s="217"/>
      <c r="BA19" s="78" t="s">
        <v>195</v>
      </c>
      <c r="BB19" s="55" t="s">
        <v>61</v>
      </c>
      <c r="BC19" s="265"/>
      <c r="BD19" s="294"/>
      <c r="BE19" s="265"/>
      <c r="BF19" s="294"/>
      <c r="BG19" s="223"/>
      <c r="BH19" s="294"/>
      <c r="BI19" s="223"/>
      <c r="BJ19" s="294"/>
      <c r="BK19" s="223"/>
      <c r="BL19" s="294"/>
      <c r="BN19" s="251"/>
      <c r="BO19" s="252"/>
      <c r="BP19" s="251"/>
      <c r="BQ19" s="252"/>
      <c r="BR19" s="251"/>
      <c r="BS19" s="252"/>
      <c r="BT19" s="251"/>
      <c r="BU19" s="252"/>
      <c r="BV19" s="251"/>
      <c r="BW19" s="252"/>
      <c r="BY19" s="78" t="s">
        <v>195</v>
      </c>
      <c r="BZ19" s="271"/>
      <c r="CA19" s="272"/>
      <c r="CB19" s="273"/>
      <c r="CC19" s="217"/>
      <c r="CE19" s="78" t="s">
        <v>195</v>
      </c>
      <c r="CF19" s="271"/>
      <c r="CG19" s="338"/>
      <c r="CH19" s="313"/>
    </row>
    <row r="20" spans="2:86" x14ac:dyDescent="0.25">
      <c r="B20" s="353" t="s">
        <v>100</v>
      </c>
      <c r="C20" s="354"/>
      <c r="D20" s="354"/>
      <c r="E20" s="354"/>
      <c r="F20" s="363" t="s">
        <v>101</v>
      </c>
      <c r="G20" s="364"/>
      <c r="H20" s="364"/>
      <c r="I20" s="365"/>
      <c r="J20" s="29"/>
      <c r="K20" s="45" t="s">
        <v>196</v>
      </c>
      <c r="L20" s="46" t="s">
        <v>59</v>
      </c>
      <c r="M20" s="47" t="s">
        <v>227</v>
      </c>
      <c r="N20" s="48" t="s">
        <v>61</v>
      </c>
      <c r="O20" s="49" t="s">
        <v>61</v>
      </c>
      <c r="P20" s="49" t="s">
        <v>62</v>
      </c>
      <c r="Q20" s="51" t="s">
        <v>62</v>
      </c>
      <c r="R20" s="48" t="s">
        <v>62</v>
      </c>
      <c r="S20" s="50" t="s">
        <v>62</v>
      </c>
      <c r="T20" s="51" t="s">
        <v>60</v>
      </c>
      <c r="U20" s="48" t="s">
        <v>62</v>
      </c>
      <c r="V20" s="52" t="s">
        <v>62</v>
      </c>
      <c r="W20" s="177" t="s">
        <v>63</v>
      </c>
      <c r="X20" s="177" t="s">
        <v>63</v>
      </c>
      <c r="Z20" s="45" t="s">
        <v>196</v>
      </c>
      <c r="AA20" s="77" t="s">
        <v>64</v>
      </c>
      <c r="AB20" s="53">
        <v>28.9350911350503</v>
      </c>
      <c r="AC20" s="77" t="s">
        <v>64</v>
      </c>
      <c r="AD20" s="53">
        <v>29.0686902710727</v>
      </c>
      <c r="AE20" s="1"/>
      <c r="AI20" s="1"/>
      <c r="AJ20" s="1"/>
      <c r="AK20" s="1"/>
      <c r="AL20" s="1"/>
      <c r="AM20" s="45" t="s">
        <v>196</v>
      </c>
      <c r="AN20" s="216"/>
      <c r="AO20" s="223"/>
      <c r="AP20" s="216"/>
      <c r="AQ20" s="223"/>
      <c r="AR20" s="216"/>
      <c r="AS20" s="217"/>
      <c r="AT20" s="216"/>
      <c r="AU20" s="217"/>
      <c r="AV20" s="216"/>
      <c r="AW20" s="217"/>
      <c r="AX20" s="216"/>
      <c r="AY20" s="217"/>
      <c r="BA20" s="45" t="s">
        <v>196</v>
      </c>
      <c r="BB20" s="55" t="s">
        <v>61</v>
      </c>
      <c r="BC20" s="265"/>
      <c r="BD20" s="294"/>
      <c r="BE20" s="265"/>
      <c r="BF20" s="294"/>
      <c r="BG20" s="223"/>
      <c r="BH20" s="294"/>
      <c r="BI20" s="223"/>
      <c r="BJ20" s="294"/>
      <c r="BK20" s="223"/>
      <c r="BL20" s="294"/>
      <c r="BN20" s="251"/>
      <c r="BO20" s="252"/>
      <c r="BP20" s="251"/>
      <c r="BQ20" s="252"/>
      <c r="BR20" s="251"/>
      <c r="BS20" s="252"/>
      <c r="BT20" s="251"/>
      <c r="BU20" s="252"/>
      <c r="BV20" s="251"/>
      <c r="BW20" s="252"/>
      <c r="BY20" s="45" t="s">
        <v>196</v>
      </c>
      <c r="BZ20" s="271"/>
      <c r="CA20" s="272"/>
      <c r="CB20" s="273"/>
      <c r="CC20" s="217"/>
      <c r="CE20" s="45" t="s">
        <v>196</v>
      </c>
      <c r="CF20" s="271"/>
      <c r="CG20" s="338"/>
      <c r="CH20" s="313"/>
    </row>
    <row r="21" spans="2:86" ht="15.75" thickBot="1" x14ac:dyDescent="0.3">
      <c r="B21" s="369" t="s">
        <v>103</v>
      </c>
      <c r="C21" s="370"/>
      <c r="D21" s="370"/>
      <c r="E21" s="370"/>
      <c r="F21" s="371" t="s">
        <v>104</v>
      </c>
      <c r="G21" s="371"/>
      <c r="H21" s="371"/>
      <c r="I21" s="372"/>
      <c r="J21" s="29"/>
      <c r="K21" s="45" t="s">
        <v>197</v>
      </c>
      <c r="L21" s="46" t="s">
        <v>59</v>
      </c>
      <c r="M21" s="47" t="s">
        <v>227</v>
      </c>
      <c r="N21" s="48" t="s">
        <v>61</v>
      </c>
      <c r="O21" s="49" t="s">
        <v>61</v>
      </c>
      <c r="P21" s="49" t="s">
        <v>62</v>
      </c>
      <c r="Q21" s="51" t="s">
        <v>62</v>
      </c>
      <c r="R21" s="48" t="s">
        <v>62</v>
      </c>
      <c r="S21" s="50" t="s">
        <v>62</v>
      </c>
      <c r="T21" s="51" t="s">
        <v>60</v>
      </c>
      <c r="U21" s="48" t="s">
        <v>62</v>
      </c>
      <c r="V21" s="52" t="s">
        <v>62</v>
      </c>
      <c r="W21" s="177" t="s">
        <v>63</v>
      </c>
      <c r="X21" s="177" t="s">
        <v>63</v>
      </c>
      <c r="Z21" s="45" t="s">
        <v>197</v>
      </c>
      <c r="AA21" s="77" t="s">
        <v>64</v>
      </c>
      <c r="AB21" s="53">
        <v>29.006934361649201</v>
      </c>
      <c r="AC21" s="77" t="s">
        <v>64</v>
      </c>
      <c r="AD21" s="53">
        <v>29.097464803779399</v>
      </c>
      <c r="AE21" s="1"/>
      <c r="AI21" s="1"/>
      <c r="AJ21" s="1"/>
      <c r="AK21" s="1"/>
      <c r="AL21" s="1"/>
      <c r="AM21" s="45" t="s">
        <v>197</v>
      </c>
      <c r="AN21" s="216"/>
      <c r="AO21" s="223"/>
      <c r="AP21" s="216"/>
      <c r="AQ21" s="223"/>
      <c r="AR21" s="216"/>
      <c r="AS21" s="217"/>
      <c r="AT21" s="216"/>
      <c r="AU21" s="217"/>
      <c r="AV21" s="216"/>
      <c r="AW21" s="217"/>
      <c r="AX21" s="216"/>
      <c r="AY21" s="217"/>
      <c r="BA21" s="45" t="s">
        <v>197</v>
      </c>
      <c r="BB21" s="55" t="s">
        <v>61</v>
      </c>
      <c r="BC21" s="265"/>
      <c r="BD21" s="294"/>
      <c r="BE21" s="265"/>
      <c r="BF21" s="294"/>
      <c r="BG21" s="223"/>
      <c r="BH21" s="294"/>
      <c r="BI21" s="223"/>
      <c r="BJ21" s="294"/>
      <c r="BK21" s="223"/>
      <c r="BL21" s="294"/>
      <c r="BN21" s="251"/>
      <c r="BO21" s="252"/>
      <c r="BP21" s="251"/>
      <c r="BQ21" s="252"/>
      <c r="BR21" s="251"/>
      <c r="BS21" s="252"/>
      <c r="BT21" s="251"/>
      <c r="BU21" s="252"/>
      <c r="BV21" s="251"/>
      <c r="BW21" s="252"/>
      <c r="BY21" s="45" t="s">
        <v>197</v>
      </c>
      <c r="BZ21" s="271"/>
      <c r="CA21" s="272"/>
      <c r="CB21" s="273"/>
      <c r="CC21" s="217"/>
      <c r="CE21" s="45" t="s">
        <v>197</v>
      </c>
      <c r="CF21" s="271"/>
      <c r="CG21" s="338"/>
      <c r="CH21" s="313"/>
    </row>
    <row r="22" spans="2:86" ht="15.75" thickBot="1" x14ac:dyDescent="0.3">
      <c r="B22" s="79"/>
      <c r="C22" s="79"/>
      <c r="D22" s="79"/>
      <c r="E22" s="79"/>
      <c r="F22" s="80"/>
      <c r="G22" s="79"/>
      <c r="H22" s="76"/>
      <c r="I22" s="75"/>
      <c r="J22" s="29"/>
      <c r="K22" s="45" t="s">
        <v>198</v>
      </c>
      <c r="L22" s="46" t="s">
        <v>59</v>
      </c>
      <c r="M22" s="47" t="s">
        <v>227</v>
      </c>
      <c r="N22" s="48" t="s">
        <v>61</v>
      </c>
      <c r="O22" s="49" t="s">
        <v>61</v>
      </c>
      <c r="P22" s="49" t="s">
        <v>62</v>
      </c>
      <c r="Q22" s="51" t="s">
        <v>62</v>
      </c>
      <c r="R22" s="48" t="s">
        <v>62</v>
      </c>
      <c r="S22" s="50" t="s">
        <v>62</v>
      </c>
      <c r="T22" s="51" t="s">
        <v>60</v>
      </c>
      <c r="U22" s="48" t="s">
        <v>62</v>
      </c>
      <c r="V22" s="52" t="s">
        <v>62</v>
      </c>
      <c r="W22" s="177" t="s">
        <v>63</v>
      </c>
      <c r="X22" s="177" t="s">
        <v>63</v>
      </c>
      <c r="Z22" s="45" t="s">
        <v>198</v>
      </c>
      <c r="AA22" s="77" t="s">
        <v>64</v>
      </c>
      <c r="AB22" s="53">
        <v>29.312563826974099</v>
      </c>
      <c r="AC22" s="77" t="s">
        <v>64</v>
      </c>
      <c r="AD22" s="53">
        <v>29.297233408840501</v>
      </c>
      <c r="AE22" s="1"/>
      <c r="AK22" s="4"/>
      <c r="AL22" s="1"/>
      <c r="AM22" s="45" t="s">
        <v>198</v>
      </c>
      <c r="AN22" s="216"/>
      <c r="AO22" s="223"/>
      <c r="AP22" s="216"/>
      <c r="AQ22" s="223"/>
      <c r="AR22" s="216"/>
      <c r="AS22" s="217"/>
      <c r="AT22" s="216"/>
      <c r="AU22" s="217"/>
      <c r="AV22" s="216"/>
      <c r="AW22" s="217"/>
      <c r="AX22" s="216"/>
      <c r="AY22" s="217"/>
      <c r="BA22" s="45" t="s">
        <v>198</v>
      </c>
      <c r="BB22" s="55" t="s">
        <v>61</v>
      </c>
      <c r="BC22" s="265"/>
      <c r="BD22" s="294"/>
      <c r="BE22" s="265"/>
      <c r="BF22" s="294"/>
      <c r="BG22" s="223"/>
      <c r="BH22" s="294"/>
      <c r="BI22" s="223"/>
      <c r="BJ22" s="294"/>
      <c r="BK22" s="223"/>
      <c r="BL22" s="294"/>
      <c r="BN22" s="251"/>
      <c r="BO22" s="252"/>
      <c r="BP22" s="251"/>
      <c r="BQ22" s="252"/>
      <c r="BR22" s="251"/>
      <c r="BS22" s="252"/>
      <c r="BT22" s="251"/>
      <c r="BU22" s="252"/>
      <c r="BV22" s="251"/>
      <c r="BW22" s="252"/>
      <c r="BY22" s="45" t="s">
        <v>198</v>
      </c>
      <c r="BZ22" s="271"/>
      <c r="CA22" s="272"/>
      <c r="CB22" s="273"/>
      <c r="CC22" s="217"/>
      <c r="CE22" s="45" t="s">
        <v>198</v>
      </c>
      <c r="CF22" s="271"/>
      <c r="CG22" s="338"/>
      <c r="CH22" s="313"/>
    </row>
    <row r="23" spans="2:86" ht="15.75" thickBot="1" x14ac:dyDescent="0.3">
      <c r="B23" s="373" t="s">
        <v>107</v>
      </c>
      <c r="C23" s="374"/>
      <c r="D23" s="374"/>
      <c r="E23" s="374"/>
      <c r="F23" s="374"/>
      <c r="G23" s="374"/>
      <c r="H23" s="375" t="s">
        <v>108</v>
      </c>
      <c r="I23" s="381"/>
      <c r="J23" s="29"/>
      <c r="K23" s="59" t="s">
        <v>199</v>
      </c>
      <c r="L23" s="81" t="s">
        <v>59</v>
      </c>
      <c r="M23" s="82" t="s">
        <v>227</v>
      </c>
      <c r="N23" s="66" t="s">
        <v>61</v>
      </c>
      <c r="O23" s="83" t="s">
        <v>61</v>
      </c>
      <c r="P23" s="83" t="s">
        <v>62</v>
      </c>
      <c r="Q23" s="84" t="s">
        <v>62</v>
      </c>
      <c r="R23" s="66" t="s">
        <v>62</v>
      </c>
      <c r="S23" s="67" t="s">
        <v>62</v>
      </c>
      <c r="T23" s="84" t="s">
        <v>60</v>
      </c>
      <c r="U23" s="62" t="s">
        <v>62</v>
      </c>
      <c r="V23" s="68" t="s">
        <v>62</v>
      </c>
      <c r="W23" s="179" t="s">
        <v>63</v>
      </c>
      <c r="X23" s="179" t="s">
        <v>63</v>
      </c>
      <c r="Z23" s="59" t="s">
        <v>199</v>
      </c>
      <c r="AA23" s="85" t="s">
        <v>64</v>
      </c>
      <c r="AB23" s="86">
        <v>29.170068662797298</v>
      </c>
      <c r="AC23" s="85" t="s">
        <v>64</v>
      </c>
      <c r="AD23" s="86">
        <v>29.167861018361499</v>
      </c>
      <c r="AE23" s="1"/>
      <c r="AK23" s="1"/>
      <c r="AL23" s="1"/>
      <c r="AM23" s="59" t="s">
        <v>199</v>
      </c>
      <c r="AN23" s="220"/>
      <c r="AO23" s="224"/>
      <c r="AP23" s="220"/>
      <c r="AQ23" s="221"/>
      <c r="AR23" s="225"/>
      <c r="AS23" s="226"/>
      <c r="AT23" s="220"/>
      <c r="AU23" s="221"/>
      <c r="AV23" s="220"/>
      <c r="AW23" s="221"/>
      <c r="AX23" s="220"/>
      <c r="AY23" s="221"/>
      <c r="BA23" s="59" t="s">
        <v>199</v>
      </c>
      <c r="BB23" s="87" t="s">
        <v>61</v>
      </c>
      <c r="BC23" s="266"/>
      <c r="BD23" s="224"/>
      <c r="BE23" s="266"/>
      <c r="BF23" s="224"/>
      <c r="BG23" s="267"/>
      <c r="BH23" s="224"/>
      <c r="BI23" s="267"/>
      <c r="BJ23" s="224"/>
      <c r="BK23" s="267"/>
      <c r="BL23" s="224"/>
      <c r="BN23" s="251"/>
      <c r="BO23" s="252"/>
      <c r="BP23" s="251"/>
      <c r="BQ23" s="252"/>
      <c r="BR23" s="251"/>
      <c r="BS23" s="252"/>
      <c r="BT23" s="251"/>
      <c r="BU23" s="252"/>
      <c r="BV23" s="251"/>
      <c r="BW23" s="252"/>
      <c r="BY23" s="59" t="s">
        <v>199</v>
      </c>
      <c r="BZ23" s="274"/>
      <c r="CA23" s="275"/>
      <c r="CB23" s="276"/>
      <c r="CC23" s="221"/>
      <c r="CE23" s="59" t="s">
        <v>199</v>
      </c>
      <c r="CF23" s="274"/>
      <c r="CG23" s="339"/>
      <c r="CH23" s="316"/>
    </row>
    <row r="24" spans="2:86" x14ac:dyDescent="0.25">
      <c r="B24" s="377" t="s">
        <v>110</v>
      </c>
      <c r="C24" s="378"/>
      <c r="D24" s="378"/>
      <c r="E24" s="378"/>
      <c r="F24" s="379" t="s">
        <v>62</v>
      </c>
      <c r="G24" s="379"/>
      <c r="H24" s="379"/>
      <c r="I24" s="380"/>
      <c r="J24" s="29"/>
      <c r="K24" s="30" t="s">
        <v>200</v>
      </c>
      <c r="L24" s="31" t="s">
        <v>76</v>
      </c>
      <c r="M24" s="32" t="s">
        <v>227</v>
      </c>
      <c r="N24" s="33" t="s">
        <v>83</v>
      </c>
      <c r="O24" s="34" t="s">
        <v>83</v>
      </c>
      <c r="P24" s="35" t="s">
        <v>83</v>
      </c>
      <c r="Q24" s="36" t="s">
        <v>83</v>
      </c>
      <c r="R24" s="33" t="s">
        <v>61</v>
      </c>
      <c r="S24" s="327" t="s">
        <v>84</v>
      </c>
      <c r="T24" s="36" t="s">
        <v>85</v>
      </c>
      <c r="U24" s="33" t="s">
        <v>62</v>
      </c>
      <c r="V24" s="40" t="s">
        <v>62</v>
      </c>
      <c r="W24" s="93" t="s">
        <v>86</v>
      </c>
      <c r="X24" s="176" t="s">
        <v>86</v>
      </c>
      <c r="Z24" s="30" t="s">
        <v>200</v>
      </c>
      <c r="AA24" s="307">
        <v>16.634228924301201</v>
      </c>
      <c r="AB24" s="41">
        <v>31.885884691685799</v>
      </c>
      <c r="AC24" s="307">
        <v>17.732250288407101</v>
      </c>
      <c r="AD24" s="41">
        <v>30.4859227168647</v>
      </c>
      <c r="AE24" s="1"/>
      <c r="AK24" s="1"/>
      <c r="AL24" s="1"/>
      <c r="AM24" s="30" t="s">
        <v>200</v>
      </c>
      <c r="AN24" s="230">
        <v>18.399999999999999</v>
      </c>
      <c r="AO24" s="184">
        <v>29.15</v>
      </c>
      <c r="AP24" s="230">
        <v>17.75</v>
      </c>
      <c r="AQ24" s="186">
        <v>29.38</v>
      </c>
      <c r="AR24" s="212"/>
      <c r="AS24" s="213"/>
      <c r="AT24" s="212"/>
      <c r="AU24" s="213"/>
      <c r="AV24" s="212"/>
      <c r="AW24" s="213"/>
      <c r="AX24" s="212"/>
      <c r="AY24" s="213"/>
      <c r="BA24" s="30" t="s">
        <v>200</v>
      </c>
      <c r="BB24" s="44">
        <v>1</v>
      </c>
      <c r="BC24" s="288">
        <v>16.45</v>
      </c>
      <c r="BD24" s="292">
        <v>29.39</v>
      </c>
      <c r="BE24" s="291">
        <v>15.38</v>
      </c>
      <c r="BF24" s="295">
        <v>29.15</v>
      </c>
      <c r="BG24" s="291">
        <v>17.739999999999998</v>
      </c>
      <c r="BH24" s="295">
        <v>28.5</v>
      </c>
      <c r="BI24" s="291">
        <v>17.22</v>
      </c>
      <c r="BJ24" s="295">
        <v>28.45</v>
      </c>
      <c r="BK24" s="291">
        <v>16.04</v>
      </c>
      <c r="BL24" s="295">
        <v>28.85</v>
      </c>
      <c r="BN24" s="243"/>
      <c r="BO24" s="217"/>
      <c r="BP24" s="243"/>
      <c r="BQ24" s="217"/>
      <c r="BR24" s="243"/>
      <c r="BS24" s="217"/>
      <c r="BT24" s="243"/>
      <c r="BU24" s="217"/>
      <c r="BV24" s="216"/>
      <c r="BW24" s="217"/>
      <c r="BY24" s="30" t="s">
        <v>200</v>
      </c>
      <c r="BZ24" s="203">
        <v>1</v>
      </c>
      <c r="CA24" s="204">
        <v>1</v>
      </c>
      <c r="CB24" s="205" t="s">
        <v>64</v>
      </c>
      <c r="CC24" s="184">
        <v>30.075095587318799</v>
      </c>
      <c r="CE24" s="30" t="s">
        <v>200</v>
      </c>
      <c r="CF24" s="203">
        <v>1</v>
      </c>
      <c r="CG24" s="322">
        <v>1</v>
      </c>
      <c r="CH24" s="343" t="s">
        <v>87</v>
      </c>
    </row>
    <row r="25" spans="2:86" x14ac:dyDescent="0.25">
      <c r="B25" s="353" t="s">
        <v>112</v>
      </c>
      <c r="C25" s="354"/>
      <c r="D25" s="354"/>
      <c r="E25" s="354"/>
      <c r="F25" s="382" t="s">
        <v>62</v>
      </c>
      <c r="G25" s="355"/>
      <c r="H25" s="355"/>
      <c r="I25" s="356"/>
      <c r="J25" s="29"/>
      <c r="K25" s="45" t="s">
        <v>201</v>
      </c>
      <c r="L25" s="46" t="s">
        <v>76</v>
      </c>
      <c r="M25" s="47" t="s">
        <v>227</v>
      </c>
      <c r="N25" s="48" t="s">
        <v>83</v>
      </c>
      <c r="O25" s="49" t="s">
        <v>83</v>
      </c>
      <c r="P25" s="50" t="s">
        <v>83</v>
      </c>
      <c r="Q25" s="51" t="s">
        <v>83</v>
      </c>
      <c r="R25" s="48" t="s">
        <v>61</v>
      </c>
      <c r="S25" s="328" t="s">
        <v>84</v>
      </c>
      <c r="T25" s="51" t="s">
        <v>85</v>
      </c>
      <c r="U25" s="48" t="s">
        <v>62</v>
      </c>
      <c r="V25" s="52" t="s">
        <v>62</v>
      </c>
      <c r="W25" s="96" t="s">
        <v>86</v>
      </c>
      <c r="X25" s="177" t="s">
        <v>86</v>
      </c>
      <c r="Y25" s="88"/>
      <c r="Z25" s="45" t="s">
        <v>201</v>
      </c>
      <c r="AA25" s="308">
        <v>16.803038550046701</v>
      </c>
      <c r="AB25" s="53">
        <v>31.600475925898898</v>
      </c>
      <c r="AC25" s="308">
        <v>16.496850208134099</v>
      </c>
      <c r="AD25" s="53">
        <v>30.860987964127499</v>
      </c>
      <c r="AE25" s="1"/>
      <c r="AK25" s="1"/>
      <c r="AL25" s="1"/>
      <c r="AM25" s="45" t="s">
        <v>201</v>
      </c>
      <c r="AN25" s="229">
        <v>16.61</v>
      </c>
      <c r="AO25" s="185">
        <v>29.7</v>
      </c>
      <c r="AP25" s="229">
        <v>17.940000000000001</v>
      </c>
      <c r="AQ25" s="185">
        <v>29.06</v>
      </c>
      <c r="AR25" s="216"/>
      <c r="AS25" s="217"/>
      <c r="AT25" s="216"/>
      <c r="AU25" s="217"/>
      <c r="AV25" s="216"/>
      <c r="AW25" s="217"/>
      <c r="AX25" s="216"/>
      <c r="AY25" s="217"/>
      <c r="BA25" s="45" t="s">
        <v>201</v>
      </c>
      <c r="BB25" s="55">
        <v>1</v>
      </c>
      <c r="BC25" s="297">
        <v>15.21</v>
      </c>
      <c r="BD25" s="293">
        <v>28.55</v>
      </c>
      <c r="BE25" s="289">
        <v>16.28</v>
      </c>
      <c r="BF25" s="293">
        <v>28.03</v>
      </c>
      <c r="BG25" s="297">
        <v>17</v>
      </c>
      <c r="BH25" s="293">
        <v>27.99</v>
      </c>
      <c r="BI25" s="297">
        <v>15.8</v>
      </c>
      <c r="BJ25" s="293">
        <v>28.25</v>
      </c>
      <c r="BK25" s="297">
        <v>16.13</v>
      </c>
      <c r="BL25" s="293">
        <v>28.99</v>
      </c>
      <c r="BN25" s="251"/>
      <c r="BO25" s="252"/>
      <c r="BP25" s="251"/>
      <c r="BQ25" s="252"/>
      <c r="BR25" s="251"/>
      <c r="BS25" s="252"/>
      <c r="BT25" s="251"/>
      <c r="BU25" s="252"/>
      <c r="BV25" s="268"/>
      <c r="BW25" s="269"/>
      <c r="BY25" s="45" t="s">
        <v>201</v>
      </c>
      <c r="BZ25" s="198">
        <v>1</v>
      </c>
      <c r="CA25" s="199">
        <v>1</v>
      </c>
      <c r="CB25" s="305" t="s">
        <v>64</v>
      </c>
      <c r="CC25" s="54">
        <v>29.745610676217598</v>
      </c>
      <c r="CE25" s="45" t="s">
        <v>201</v>
      </c>
      <c r="CF25" s="198">
        <v>1</v>
      </c>
      <c r="CG25" s="317">
        <v>1</v>
      </c>
      <c r="CH25" s="342" t="s">
        <v>87</v>
      </c>
    </row>
    <row r="26" spans="2:86" ht="15.75" thickBot="1" x14ac:dyDescent="0.3">
      <c r="B26" s="369" t="s">
        <v>114</v>
      </c>
      <c r="C26" s="370"/>
      <c r="D26" s="370"/>
      <c r="E26" s="370"/>
      <c r="F26" s="371" t="s">
        <v>62</v>
      </c>
      <c r="G26" s="371"/>
      <c r="H26" s="371"/>
      <c r="I26" s="372"/>
      <c r="J26" s="29"/>
      <c r="K26" s="45" t="s">
        <v>202</v>
      </c>
      <c r="L26" s="46" t="s">
        <v>76</v>
      </c>
      <c r="M26" s="47" t="s">
        <v>227</v>
      </c>
      <c r="N26" s="48" t="s">
        <v>83</v>
      </c>
      <c r="O26" s="49" t="s">
        <v>83</v>
      </c>
      <c r="P26" s="50" t="s">
        <v>83</v>
      </c>
      <c r="Q26" s="51" t="s">
        <v>83</v>
      </c>
      <c r="R26" s="48" t="s">
        <v>61</v>
      </c>
      <c r="S26" s="328" t="s">
        <v>84</v>
      </c>
      <c r="T26" s="51" t="s">
        <v>85</v>
      </c>
      <c r="U26" s="48" t="s">
        <v>62</v>
      </c>
      <c r="V26" s="52" t="s">
        <v>62</v>
      </c>
      <c r="W26" s="96" t="s">
        <v>86</v>
      </c>
      <c r="X26" s="177" t="s">
        <v>86</v>
      </c>
      <c r="Y26" s="88"/>
      <c r="Z26" s="45" t="s">
        <v>202</v>
      </c>
      <c r="AA26" s="308">
        <v>16.160195137025902</v>
      </c>
      <c r="AB26" s="53">
        <v>31.448066427076601</v>
      </c>
      <c r="AC26" s="308">
        <v>18.461016152686899</v>
      </c>
      <c r="AD26" s="53">
        <v>29.8592864925809</v>
      </c>
      <c r="AE26" s="1"/>
      <c r="AK26" s="1"/>
      <c r="AL26" s="1"/>
      <c r="AM26" s="45" t="s">
        <v>202</v>
      </c>
      <c r="AN26" s="229">
        <v>15.72</v>
      </c>
      <c r="AO26" s="185">
        <v>30.24</v>
      </c>
      <c r="AP26" s="229">
        <v>15.78</v>
      </c>
      <c r="AQ26" s="185">
        <v>30.2</v>
      </c>
      <c r="AR26" s="216"/>
      <c r="AS26" s="217"/>
      <c r="AT26" s="216"/>
      <c r="AU26" s="217"/>
      <c r="AV26" s="216"/>
      <c r="AW26" s="217"/>
      <c r="AX26" s="216"/>
      <c r="AY26" s="217"/>
      <c r="BA26" s="45" t="s">
        <v>202</v>
      </c>
      <c r="BB26" s="55">
        <v>1</v>
      </c>
      <c r="BC26" s="297">
        <v>15.77</v>
      </c>
      <c r="BD26" s="293">
        <v>28.62</v>
      </c>
      <c r="BE26" s="297">
        <v>16.53</v>
      </c>
      <c r="BF26" s="293">
        <v>28.23</v>
      </c>
      <c r="BG26" s="297">
        <v>18.91</v>
      </c>
      <c r="BH26" s="293">
        <v>27.67</v>
      </c>
      <c r="BI26" s="297">
        <v>16.77</v>
      </c>
      <c r="BJ26" s="293">
        <v>28.51</v>
      </c>
      <c r="BK26" s="297">
        <v>16.03</v>
      </c>
      <c r="BL26" s="293">
        <v>28.53</v>
      </c>
      <c r="BN26" s="251"/>
      <c r="BO26" s="252"/>
      <c r="BP26" s="251"/>
      <c r="BQ26" s="252"/>
      <c r="BR26" s="251"/>
      <c r="BS26" s="252"/>
      <c r="BT26" s="251"/>
      <c r="BU26" s="252"/>
      <c r="BV26" s="268"/>
      <c r="BW26" s="269"/>
      <c r="BY26" s="45" t="s">
        <v>202</v>
      </c>
      <c r="BZ26" s="198">
        <v>1</v>
      </c>
      <c r="CA26" s="199">
        <v>1</v>
      </c>
      <c r="CB26" s="305" t="s">
        <v>64</v>
      </c>
      <c r="CC26" s="54">
        <v>29.763433580603799</v>
      </c>
      <c r="CE26" s="45" t="s">
        <v>202</v>
      </c>
      <c r="CF26" s="198">
        <v>1</v>
      </c>
      <c r="CG26" s="317">
        <v>1</v>
      </c>
      <c r="CH26" s="342" t="s">
        <v>87</v>
      </c>
    </row>
    <row r="27" spans="2:86" ht="15.75" thickBot="1" x14ac:dyDescent="0.3">
      <c r="B27" s="75"/>
      <c r="C27" s="75"/>
      <c r="D27" s="75"/>
      <c r="E27" s="76"/>
      <c r="F27" s="76"/>
      <c r="G27" s="76"/>
      <c r="H27" s="76"/>
      <c r="I27" s="76"/>
      <c r="J27" s="29"/>
      <c r="K27" s="45" t="s">
        <v>203</v>
      </c>
      <c r="L27" s="46" t="s">
        <v>76</v>
      </c>
      <c r="M27" s="47" t="s">
        <v>227</v>
      </c>
      <c r="N27" s="48" t="s">
        <v>83</v>
      </c>
      <c r="O27" s="49" t="s">
        <v>83</v>
      </c>
      <c r="P27" s="50" t="s">
        <v>83</v>
      </c>
      <c r="Q27" s="51" t="s">
        <v>83</v>
      </c>
      <c r="R27" s="48" t="s">
        <v>61</v>
      </c>
      <c r="S27" s="328" t="s">
        <v>84</v>
      </c>
      <c r="T27" s="51" t="s">
        <v>85</v>
      </c>
      <c r="U27" s="48" t="s">
        <v>62</v>
      </c>
      <c r="V27" s="52" t="s">
        <v>62</v>
      </c>
      <c r="W27" s="96" t="s">
        <v>86</v>
      </c>
      <c r="X27" s="177" t="s">
        <v>86</v>
      </c>
      <c r="Y27" s="88"/>
      <c r="Z27" s="45" t="s">
        <v>203</v>
      </c>
      <c r="AA27" s="308">
        <v>16.126706778171901</v>
      </c>
      <c r="AB27" s="53">
        <v>31.2109457896264</v>
      </c>
      <c r="AC27" s="308">
        <v>17.251791485420501</v>
      </c>
      <c r="AD27" s="53">
        <v>30.744295816001699</v>
      </c>
      <c r="AE27" s="1"/>
      <c r="AK27" s="1"/>
      <c r="AL27" s="1"/>
      <c r="AM27" s="45" t="s">
        <v>203</v>
      </c>
      <c r="AN27" s="229">
        <v>15.69</v>
      </c>
      <c r="AO27" s="185">
        <v>30.15</v>
      </c>
      <c r="AP27" s="229">
        <v>15.62</v>
      </c>
      <c r="AQ27" s="185">
        <v>30.23</v>
      </c>
      <c r="AR27" s="216"/>
      <c r="AS27" s="217"/>
      <c r="AT27" s="216"/>
      <c r="AU27" s="217"/>
      <c r="AV27" s="216"/>
      <c r="AW27" s="217"/>
      <c r="AX27" s="216"/>
      <c r="AY27" s="217"/>
      <c r="BA27" s="45" t="s">
        <v>203</v>
      </c>
      <c r="BB27" s="55">
        <v>1</v>
      </c>
      <c r="BC27" s="297">
        <v>18.440000000000001</v>
      </c>
      <c r="BD27" s="293">
        <v>29.99</v>
      </c>
      <c r="BE27" s="297">
        <v>20.39</v>
      </c>
      <c r="BF27" s="293">
        <v>28.13</v>
      </c>
      <c r="BG27" s="297">
        <v>17.03</v>
      </c>
      <c r="BH27" s="293">
        <v>27.98</v>
      </c>
      <c r="BI27" s="297">
        <v>16.75</v>
      </c>
      <c r="BJ27" s="293">
        <v>29.98</v>
      </c>
      <c r="BK27" s="297">
        <v>17.98</v>
      </c>
      <c r="BL27" s="293">
        <v>27.82</v>
      </c>
      <c r="BN27" s="251"/>
      <c r="BO27" s="252"/>
      <c r="BP27" s="251"/>
      <c r="BQ27" s="252"/>
      <c r="BR27" s="251"/>
      <c r="BS27" s="252"/>
      <c r="BT27" s="251"/>
      <c r="BU27" s="252"/>
      <c r="BV27" s="268"/>
      <c r="BW27" s="269"/>
      <c r="BY27" s="45" t="s">
        <v>203</v>
      </c>
      <c r="BZ27" s="198">
        <v>1</v>
      </c>
      <c r="CA27" s="199">
        <v>1</v>
      </c>
      <c r="CB27" s="200" t="s">
        <v>64</v>
      </c>
      <c r="CC27" s="54">
        <v>29.526430422182699</v>
      </c>
      <c r="CE27" s="45" t="s">
        <v>203</v>
      </c>
      <c r="CF27" s="198">
        <v>1</v>
      </c>
      <c r="CG27" s="317">
        <v>1</v>
      </c>
      <c r="CH27" s="342" t="s">
        <v>87</v>
      </c>
    </row>
    <row r="28" spans="2:86" ht="15.75" thickBot="1" x14ac:dyDescent="0.3">
      <c r="B28" s="373" t="s">
        <v>117</v>
      </c>
      <c r="C28" s="374"/>
      <c r="D28" s="374"/>
      <c r="E28" s="374"/>
      <c r="F28" s="374"/>
      <c r="G28" s="374"/>
      <c r="H28" s="375" t="s">
        <v>108</v>
      </c>
      <c r="I28" s="376"/>
      <c r="J28" s="29"/>
      <c r="K28" s="45" t="s">
        <v>204</v>
      </c>
      <c r="L28" s="46" t="s">
        <v>76</v>
      </c>
      <c r="M28" s="47" t="s">
        <v>227</v>
      </c>
      <c r="N28" s="48" t="s">
        <v>83</v>
      </c>
      <c r="O28" s="49" t="s">
        <v>83</v>
      </c>
      <c r="P28" s="50" t="s">
        <v>83</v>
      </c>
      <c r="Q28" s="51" t="s">
        <v>83</v>
      </c>
      <c r="R28" s="48" t="s">
        <v>61</v>
      </c>
      <c r="S28" s="328" t="s">
        <v>84</v>
      </c>
      <c r="T28" s="51" t="s">
        <v>85</v>
      </c>
      <c r="U28" s="48" t="s">
        <v>62</v>
      </c>
      <c r="V28" s="52" t="s">
        <v>62</v>
      </c>
      <c r="W28" s="96" t="s">
        <v>86</v>
      </c>
      <c r="X28" s="177" t="s">
        <v>86</v>
      </c>
      <c r="Y28" s="88"/>
      <c r="Z28" s="45" t="s">
        <v>204</v>
      </c>
      <c r="AA28" s="308">
        <v>16.149412094015599</v>
      </c>
      <c r="AB28" s="53">
        <v>31.245218577458299</v>
      </c>
      <c r="AC28" s="308">
        <v>16.2542270001235</v>
      </c>
      <c r="AD28" s="53">
        <v>31.892186266143501</v>
      </c>
      <c r="AE28" s="1"/>
      <c r="AK28" s="1"/>
      <c r="AL28" s="1"/>
      <c r="AM28" s="45" t="s">
        <v>204</v>
      </c>
      <c r="AN28" s="229">
        <v>15.01</v>
      </c>
      <c r="AO28" s="185">
        <v>32.47</v>
      </c>
      <c r="AP28" s="229">
        <v>15.98</v>
      </c>
      <c r="AQ28" s="185">
        <v>30.56</v>
      </c>
      <c r="AR28" s="216"/>
      <c r="AS28" s="217"/>
      <c r="AT28" s="216"/>
      <c r="AU28" s="217"/>
      <c r="AV28" s="216"/>
      <c r="AW28" s="217"/>
      <c r="AX28" s="216"/>
      <c r="AY28" s="217"/>
      <c r="BA28" s="45" t="s">
        <v>204</v>
      </c>
      <c r="BB28" s="55">
        <v>1</v>
      </c>
      <c r="BC28" s="297">
        <v>16.03</v>
      </c>
      <c r="BD28" s="293">
        <v>28.44</v>
      </c>
      <c r="BE28" s="297">
        <v>17.63</v>
      </c>
      <c r="BF28" s="293">
        <v>27.8</v>
      </c>
      <c r="BG28" s="297">
        <v>16.64</v>
      </c>
      <c r="BH28" s="293">
        <v>28.9</v>
      </c>
      <c r="BI28" s="297">
        <v>20.46</v>
      </c>
      <c r="BJ28" s="293">
        <v>28.3</v>
      </c>
      <c r="BK28" s="297">
        <v>19.89</v>
      </c>
      <c r="BL28" s="293">
        <v>30.27</v>
      </c>
      <c r="BN28" s="251"/>
      <c r="BO28" s="252"/>
      <c r="BP28" s="251"/>
      <c r="BQ28" s="252"/>
      <c r="BR28" s="251"/>
      <c r="BS28" s="252"/>
      <c r="BT28" s="251"/>
      <c r="BU28" s="252"/>
      <c r="BV28" s="268"/>
      <c r="BW28" s="269"/>
      <c r="BY28" s="45" t="s">
        <v>204</v>
      </c>
      <c r="BZ28" s="198">
        <v>1</v>
      </c>
      <c r="CA28" s="199">
        <v>1</v>
      </c>
      <c r="CB28" s="200" t="s">
        <v>64</v>
      </c>
      <c r="CC28" s="54">
        <v>29.748550422173501</v>
      </c>
      <c r="CE28" s="45" t="s">
        <v>204</v>
      </c>
      <c r="CF28" s="198">
        <v>1</v>
      </c>
      <c r="CG28" s="317">
        <v>1</v>
      </c>
      <c r="CH28" s="342" t="s">
        <v>87</v>
      </c>
    </row>
    <row r="29" spans="2:86" ht="15.75" thickBot="1" x14ac:dyDescent="0.3">
      <c r="B29" s="377" t="s">
        <v>119</v>
      </c>
      <c r="C29" s="378"/>
      <c r="D29" s="378"/>
      <c r="E29" s="378"/>
      <c r="F29" s="379" t="s">
        <v>62</v>
      </c>
      <c r="G29" s="379"/>
      <c r="H29" s="379"/>
      <c r="I29" s="380"/>
      <c r="J29" s="29"/>
      <c r="K29" s="78" t="s">
        <v>205</v>
      </c>
      <c r="L29" s="46" t="s">
        <v>76</v>
      </c>
      <c r="M29" s="47" t="s">
        <v>227</v>
      </c>
      <c r="N29" s="48" t="s">
        <v>83</v>
      </c>
      <c r="O29" s="49" t="s">
        <v>83</v>
      </c>
      <c r="P29" s="50" t="s">
        <v>83</v>
      </c>
      <c r="Q29" s="51" t="s">
        <v>83</v>
      </c>
      <c r="R29" s="48" t="s">
        <v>61</v>
      </c>
      <c r="S29" s="328" t="s">
        <v>84</v>
      </c>
      <c r="T29" s="51" t="s">
        <v>85</v>
      </c>
      <c r="U29" s="48" t="s">
        <v>62</v>
      </c>
      <c r="V29" s="52" t="s">
        <v>62</v>
      </c>
      <c r="W29" s="96" t="s">
        <v>86</v>
      </c>
      <c r="X29" s="177" t="s">
        <v>86</v>
      </c>
      <c r="Y29" s="88"/>
      <c r="Z29" s="78" t="s">
        <v>205</v>
      </c>
      <c r="AA29" s="308">
        <v>15.7019455340333</v>
      </c>
      <c r="AB29" s="53">
        <v>31.632553737404201</v>
      </c>
      <c r="AC29" s="308">
        <v>16.5121324261772</v>
      </c>
      <c r="AD29" s="53">
        <v>31.561024330275401</v>
      </c>
      <c r="AE29" s="1"/>
      <c r="AF29" s="1"/>
      <c r="AG29" s="89" t="s">
        <v>206</v>
      </c>
      <c r="AK29" s="1"/>
      <c r="AL29" s="1"/>
      <c r="AM29" s="78" t="s">
        <v>205</v>
      </c>
      <c r="AN29" s="229">
        <v>16.13</v>
      </c>
      <c r="AO29" s="185">
        <v>30.43</v>
      </c>
      <c r="AP29" s="229">
        <v>15.84</v>
      </c>
      <c r="AQ29" s="185">
        <v>29.82</v>
      </c>
      <c r="AR29" s="216"/>
      <c r="AS29" s="217"/>
      <c r="AT29" s="216"/>
      <c r="AU29" s="217"/>
      <c r="AV29" s="216"/>
      <c r="AW29" s="217"/>
      <c r="AX29" s="216"/>
      <c r="AY29" s="217"/>
      <c r="BA29" s="78" t="s">
        <v>205</v>
      </c>
      <c r="BB29" s="55">
        <v>1</v>
      </c>
      <c r="BC29" s="297">
        <v>17.59</v>
      </c>
      <c r="BD29" s="293">
        <v>28.01</v>
      </c>
      <c r="BE29" s="297">
        <v>17</v>
      </c>
      <c r="BF29" s="293">
        <v>27.89</v>
      </c>
      <c r="BG29" s="297">
        <v>19.09</v>
      </c>
      <c r="BH29" s="293">
        <v>27.38</v>
      </c>
      <c r="BI29" s="297">
        <v>16.25</v>
      </c>
      <c r="BJ29" s="293">
        <v>28.36</v>
      </c>
      <c r="BK29" s="297">
        <v>17.71</v>
      </c>
      <c r="BL29" s="293">
        <v>27.57</v>
      </c>
      <c r="BN29" s="251"/>
      <c r="BO29" s="252"/>
      <c r="BP29" s="251"/>
      <c r="BQ29" s="252"/>
      <c r="BR29" s="251"/>
      <c r="BS29" s="252"/>
      <c r="BT29" s="251"/>
      <c r="BU29" s="252"/>
      <c r="BV29" s="268"/>
      <c r="BW29" s="269"/>
      <c r="BY29" s="78" t="s">
        <v>205</v>
      </c>
      <c r="BZ29" s="198">
        <v>1</v>
      </c>
      <c r="CA29" s="199">
        <v>1</v>
      </c>
      <c r="CB29" s="200" t="s">
        <v>64</v>
      </c>
      <c r="CC29" s="54">
        <v>29.658680993339399</v>
      </c>
      <c r="CE29" s="78" t="s">
        <v>205</v>
      </c>
      <c r="CF29" s="198">
        <v>1</v>
      </c>
      <c r="CG29" s="317">
        <v>1</v>
      </c>
      <c r="CH29" s="342" t="s">
        <v>87</v>
      </c>
    </row>
    <row r="30" spans="2:86" x14ac:dyDescent="0.25">
      <c r="B30" s="357" t="s">
        <v>122</v>
      </c>
      <c r="C30" s="358"/>
      <c r="D30" s="358"/>
      <c r="E30" s="359"/>
      <c r="F30" s="363" t="s">
        <v>62</v>
      </c>
      <c r="G30" s="364"/>
      <c r="H30" s="364"/>
      <c r="I30" s="365"/>
      <c r="J30" s="29"/>
      <c r="K30" s="45" t="s">
        <v>207</v>
      </c>
      <c r="L30" s="46" t="s">
        <v>76</v>
      </c>
      <c r="M30" s="47" t="s">
        <v>227</v>
      </c>
      <c r="N30" s="48" t="s">
        <v>83</v>
      </c>
      <c r="O30" s="49" t="s">
        <v>83</v>
      </c>
      <c r="P30" s="50" t="s">
        <v>83</v>
      </c>
      <c r="Q30" s="51" t="s">
        <v>83</v>
      </c>
      <c r="R30" s="48" t="s">
        <v>61</v>
      </c>
      <c r="S30" s="328" t="s">
        <v>84</v>
      </c>
      <c r="T30" s="51" t="s">
        <v>85</v>
      </c>
      <c r="U30" s="48" t="s">
        <v>62</v>
      </c>
      <c r="V30" s="52" t="s">
        <v>62</v>
      </c>
      <c r="W30" s="96" t="s">
        <v>86</v>
      </c>
      <c r="X30" s="177" t="s">
        <v>86</v>
      </c>
      <c r="Y30" s="88"/>
      <c r="Z30" s="45" t="s">
        <v>207</v>
      </c>
      <c r="AA30" s="308">
        <v>15.7394215373936</v>
      </c>
      <c r="AB30" s="53">
        <v>31.6893343472201</v>
      </c>
      <c r="AC30" s="308">
        <v>13.382533331871199</v>
      </c>
      <c r="AD30" s="53" t="s">
        <v>64</v>
      </c>
      <c r="AE30" s="1"/>
      <c r="AG30" s="366" t="s">
        <v>68</v>
      </c>
      <c r="AH30" s="367"/>
      <c r="AI30" s="368" t="s">
        <v>69</v>
      </c>
      <c r="AJ30" s="367"/>
      <c r="AK30" s="1"/>
      <c r="AL30" s="1"/>
      <c r="AM30" s="45" t="s">
        <v>207</v>
      </c>
      <c r="AN30" s="229">
        <v>16.59</v>
      </c>
      <c r="AO30" s="185">
        <v>29.98</v>
      </c>
      <c r="AP30" s="229">
        <v>16.63</v>
      </c>
      <c r="AQ30" s="185">
        <v>30.63</v>
      </c>
      <c r="AR30" s="216"/>
      <c r="AS30" s="217"/>
      <c r="AT30" s="216"/>
      <c r="AU30" s="217"/>
      <c r="AV30" s="216"/>
      <c r="AW30" s="217"/>
      <c r="AX30" s="216"/>
      <c r="AY30" s="217"/>
      <c r="BA30" s="45" t="s">
        <v>207</v>
      </c>
      <c r="BB30" s="55">
        <v>1</v>
      </c>
      <c r="BC30" s="297">
        <v>17.28</v>
      </c>
      <c r="BD30" s="293">
        <v>27.56</v>
      </c>
      <c r="BE30" s="297">
        <v>18.04</v>
      </c>
      <c r="BF30" s="293">
        <v>27.92</v>
      </c>
      <c r="BG30" s="297">
        <v>20.6</v>
      </c>
      <c r="BH30" s="293">
        <v>27.41</v>
      </c>
      <c r="BI30" s="297">
        <v>18.5</v>
      </c>
      <c r="BJ30" s="293">
        <v>27.47</v>
      </c>
      <c r="BK30" s="297">
        <v>16.77</v>
      </c>
      <c r="BL30" s="293">
        <v>28.22</v>
      </c>
      <c r="BN30" s="251"/>
      <c r="BO30" s="252"/>
      <c r="BP30" s="251"/>
      <c r="BQ30" s="252"/>
      <c r="BR30" s="251"/>
      <c r="BS30" s="252"/>
      <c r="BT30" s="251"/>
      <c r="BU30" s="252"/>
      <c r="BV30" s="268"/>
      <c r="BW30" s="269"/>
      <c r="BY30" s="45" t="s">
        <v>207</v>
      </c>
      <c r="BZ30" s="198">
        <v>1</v>
      </c>
      <c r="CA30" s="199">
        <v>1</v>
      </c>
      <c r="CB30" s="200" t="s">
        <v>64</v>
      </c>
      <c r="CC30" s="54">
        <v>29.242855488688299</v>
      </c>
      <c r="CE30" s="45" t="s">
        <v>207</v>
      </c>
      <c r="CF30" s="198">
        <v>1</v>
      </c>
      <c r="CG30" s="317">
        <v>1</v>
      </c>
      <c r="CH30" s="342" t="s">
        <v>87</v>
      </c>
    </row>
    <row r="31" spans="2:86" ht="15.75" thickBot="1" x14ac:dyDescent="0.3">
      <c r="B31" s="353" t="s">
        <v>124</v>
      </c>
      <c r="C31" s="354"/>
      <c r="D31" s="354"/>
      <c r="E31" s="354"/>
      <c r="F31" s="355" t="s">
        <v>62</v>
      </c>
      <c r="G31" s="355"/>
      <c r="H31" s="355"/>
      <c r="I31" s="356"/>
      <c r="J31" s="29"/>
      <c r="K31" s="45" t="s">
        <v>208</v>
      </c>
      <c r="L31" s="46" t="s">
        <v>76</v>
      </c>
      <c r="M31" s="47" t="s">
        <v>227</v>
      </c>
      <c r="N31" s="48" t="s">
        <v>83</v>
      </c>
      <c r="O31" s="49" t="s">
        <v>83</v>
      </c>
      <c r="P31" s="50" t="s">
        <v>83</v>
      </c>
      <c r="Q31" s="51" t="s">
        <v>83</v>
      </c>
      <c r="R31" s="48" t="s">
        <v>61</v>
      </c>
      <c r="S31" s="328" t="s">
        <v>84</v>
      </c>
      <c r="T31" s="90" t="s">
        <v>85</v>
      </c>
      <c r="U31" s="48" t="s">
        <v>62</v>
      </c>
      <c r="V31" s="52" t="s">
        <v>62</v>
      </c>
      <c r="W31" s="96" t="s">
        <v>86</v>
      </c>
      <c r="X31" s="177" t="s">
        <v>86</v>
      </c>
      <c r="Y31" s="88"/>
      <c r="Z31" s="45" t="s">
        <v>208</v>
      </c>
      <c r="AA31" s="308">
        <v>15.519704199974999</v>
      </c>
      <c r="AB31" s="53">
        <v>32.307865056535398</v>
      </c>
      <c r="AC31" s="308">
        <v>13.6866169643296</v>
      </c>
      <c r="AD31" s="53" t="s">
        <v>64</v>
      </c>
      <c r="AE31" s="1"/>
      <c r="AG31" s="56" t="s">
        <v>55</v>
      </c>
      <c r="AH31" s="28" t="s">
        <v>56</v>
      </c>
      <c r="AI31" s="27" t="s">
        <v>55</v>
      </c>
      <c r="AJ31" s="28" t="s">
        <v>56</v>
      </c>
      <c r="AK31" s="1"/>
      <c r="AL31" s="1"/>
      <c r="AM31" s="45" t="s">
        <v>208</v>
      </c>
      <c r="AN31" s="229">
        <v>16.16</v>
      </c>
      <c r="AO31" s="185">
        <v>30.26</v>
      </c>
      <c r="AP31" s="229">
        <v>16.07</v>
      </c>
      <c r="AQ31" s="185">
        <v>30.97</v>
      </c>
      <c r="AR31" s="216"/>
      <c r="AS31" s="217"/>
      <c r="AT31" s="216"/>
      <c r="AU31" s="217"/>
      <c r="AV31" s="216"/>
      <c r="AW31" s="217"/>
      <c r="AX31" s="216"/>
      <c r="AY31" s="217"/>
      <c r="BA31" s="45" t="s">
        <v>208</v>
      </c>
      <c r="BB31" s="55">
        <v>1</v>
      </c>
      <c r="BC31" s="297">
        <v>19.48</v>
      </c>
      <c r="BD31" s="293">
        <v>27.47</v>
      </c>
      <c r="BE31" s="297">
        <v>15.16</v>
      </c>
      <c r="BF31" s="293">
        <v>28.99</v>
      </c>
      <c r="BG31" s="297">
        <v>17.87</v>
      </c>
      <c r="BH31" s="293">
        <v>27.63</v>
      </c>
      <c r="BI31" s="297">
        <v>17.670000000000002</v>
      </c>
      <c r="BJ31" s="293">
        <v>27.89</v>
      </c>
      <c r="BK31" s="297">
        <v>17.32</v>
      </c>
      <c r="BL31" s="293">
        <v>27.92</v>
      </c>
      <c r="BN31" s="251"/>
      <c r="BO31" s="252"/>
      <c r="BP31" s="251"/>
      <c r="BQ31" s="252"/>
      <c r="BR31" s="251"/>
      <c r="BS31" s="252"/>
      <c r="BT31" s="251"/>
      <c r="BU31" s="252"/>
      <c r="BV31" s="268"/>
      <c r="BW31" s="269"/>
      <c r="BY31" s="45" t="s">
        <v>208</v>
      </c>
      <c r="BZ31" s="198">
        <v>1</v>
      </c>
      <c r="CA31" s="199">
        <v>1</v>
      </c>
      <c r="CB31" s="200" t="s">
        <v>64</v>
      </c>
      <c r="CC31" s="54">
        <v>29.285242248891102</v>
      </c>
      <c r="CE31" s="45" t="s">
        <v>208</v>
      </c>
      <c r="CF31" s="198">
        <v>1</v>
      </c>
      <c r="CG31" s="317">
        <v>1</v>
      </c>
      <c r="CH31" s="342" t="s">
        <v>87</v>
      </c>
    </row>
    <row r="32" spans="2:86" ht="15" customHeight="1" x14ac:dyDescent="0.25">
      <c r="B32" s="353" t="s">
        <v>97</v>
      </c>
      <c r="C32" s="354"/>
      <c r="D32" s="354"/>
      <c r="E32" s="354"/>
      <c r="F32" s="355" t="s">
        <v>62</v>
      </c>
      <c r="G32" s="355"/>
      <c r="H32" s="355"/>
      <c r="I32" s="356"/>
      <c r="J32" s="29"/>
      <c r="K32" s="45" t="s">
        <v>209</v>
      </c>
      <c r="L32" s="46" t="s">
        <v>76</v>
      </c>
      <c r="M32" s="47" t="s">
        <v>227</v>
      </c>
      <c r="N32" s="48" t="s">
        <v>83</v>
      </c>
      <c r="O32" s="49" t="s">
        <v>83</v>
      </c>
      <c r="P32" s="50" t="s">
        <v>83</v>
      </c>
      <c r="Q32" s="51" t="s">
        <v>83</v>
      </c>
      <c r="R32" s="48" t="s">
        <v>61</v>
      </c>
      <c r="S32" s="328" t="s">
        <v>84</v>
      </c>
      <c r="T32" s="51" t="s">
        <v>85</v>
      </c>
      <c r="U32" s="48" t="s">
        <v>62</v>
      </c>
      <c r="V32" s="52" t="s">
        <v>62</v>
      </c>
      <c r="W32" s="96" t="s">
        <v>86</v>
      </c>
      <c r="X32" s="177" t="s">
        <v>86</v>
      </c>
      <c r="Z32" s="45" t="s">
        <v>209</v>
      </c>
      <c r="AA32" s="308">
        <v>15.8563540304892</v>
      </c>
      <c r="AB32" s="53">
        <v>31.2760174723966</v>
      </c>
      <c r="AC32" s="308">
        <v>13.728523604901699</v>
      </c>
      <c r="AD32" s="53">
        <v>34.2673319567429</v>
      </c>
      <c r="AE32" s="1"/>
      <c r="AF32" s="57" t="s">
        <v>59</v>
      </c>
      <c r="AG32" s="42">
        <f>AVERAGE(AA14:AA23)</f>
        <v>26.764247438580476</v>
      </c>
      <c r="AH32" s="43">
        <f>AVERAGE(AB14:AB23)</f>
        <v>29.202629799882168</v>
      </c>
      <c r="AI32" s="303">
        <f>AVERAGE(AC14:AC23)</f>
        <v>28.698491719132324</v>
      </c>
      <c r="AJ32" s="43">
        <f>AVERAGE(AD14:AD23)</f>
        <v>29.131361487435772</v>
      </c>
      <c r="AK32" s="1"/>
      <c r="AL32" s="1"/>
      <c r="AM32" s="45" t="s">
        <v>209</v>
      </c>
      <c r="AN32" s="229">
        <v>16.43</v>
      </c>
      <c r="AO32" s="187">
        <v>30.57</v>
      </c>
      <c r="AP32" s="229">
        <v>16.7</v>
      </c>
      <c r="AQ32" s="187">
        <v>30.39</v>
      </c>
      <c r="AR32" s="216"/>
      <c r="AS32" s="217"/>
      <c r="AT32" s="216"/>
      <c r="AU32" s="217"/>
      <c r="AV32" s="216"/>
      <c r="AW32" s="217"/>
      <c r="AX32" s="216"/>
      <c r="AY32" s="217"/>
      <c r="BA32" s="45" t="s">
        <v>209</v>
      </c>
      <c r="BB32" s="55">
        <v>1</v>
      </c>
      <c r="BC32" s="289">
        <v>16.28</v>
      </c>
      <c r="BD32" s="293">
        <v>29.28</v>
      </c>
      <c r="BE32" s="291">
        <v>21.19</v>
      </c>
      <c r="BF32" s="293">
        <v>28.31</v>
      </c>
      <c r="BG32" s="291">
        <v>16.61</v>
      </c>
      <c r="BH32" s="293">
        <v>28.88</v>
      </c>
      <c r="BI32" s="291">
        <v>18.18</v>
      </c>
      <c r="BJ32" s="293">
        <v>28.34</v>
      </c>
      <c r="BK32" s="291">
        <v>19.64</v>
      </c>
      <c r="BL32" s="293">
        <v>28.24</v>
      </c>
      <c r="BN32" s="243"/>
      <c r="BO32" s="217"/>
      <c r="BP32" s="243"/>
      <c r="BQ32" s="217"/>
      <c r="BR32" s="243"/>
      <c r="BS32" s="217"/>
      <c r="BT32" s="243"/>
      <c r="BU32" s="217"/>
      <c r="BV32" s="216"/>
      <c r="BW32" s="217"/>
      <c r="BY32" s="45" t="s">
        <v>209</v>
      </c>
      <c r="BZ32" s="198">
        <v>1</v>
      </c>
      <c r="CA32" s="285">
        <v>1</v>
      </c>
      <c r="CB32" s="200" t="s">
        <v>64</v>
      </c>
      <c r="CC32" s="287">
        <v>29.640157335762002</v>
      </c>
      <c r="CE32" s="45" t="s">
        <v>209</v>
      </c>
      <c r="CF32" s="198">
        <v>1</v>
      </c>
      <c r="CG32" s="317">
        <v>1</v>
      </c>
      <c r="CH32" s="344" t="s">
        <v>87</v>
      </c>
    </row>
    <row r="33" spans="2:86" ht="15.75" customHeight="1" thickBot="1" x14ac:dyDescent="0.3">
      <c r="B33" s="353" t="s">
        <v>127</v>
      </c>
      <c r="C33" s="354"/>
      <c r="D33" s="354"/>
      <c r="E33" s="354"/>
      <c r="F33" s="355" t="s">
        <v>62</v>
      </c>
      <c r="G33" s="355"/>
      <c r="H33" s="355"/>
      <c r="I33" s="356"/>
      <c r="J33" s="29"/>
      <c r="K33" s="59" t="s">
        <v>210</v>
      </c>
      <c r="L33" s="60" t="s">
        <v>76</v>
      </c>
      <c r="M33" s="61" t="s">
        <v>227</v>
      </c>
      <c r="N33" s="62" t="s">
        <v>83</v>
      </c>
      <c r="O33" s="63" t="s">
        <v>83</v>
      </c>
      <c r="P33" s="64" t="s">
        <v>83</v>
      </c>
      <c r="Q33" s="65" t="s">
        <v>83</v>
      </c>
      <c r="R33" s="62" t="s">
        <v>61</v>
      </c>
      <c r="S33" s="329" t="s">
        <v>84</v>
      </c>
      <c r="T33" s="65" t="s">
        <v>85</v>
      </c>
      <c r="U33" s="62" t="s">
        <v>62</v>
      </c>
      <c r="V33" s="68" t="s">
        <v>62</v>
      </c>
      <c r="W33" s="99" t="s">
        <v>86</v>
      </c>
      <c r="X33" s="178" t="s">
        <v>86</v>
      </c>
      <c r="Z33" s="59" t="s">
        <v>210</v>
      </c>
      <c r="AA33" s="309">
        <v>15.8768992900391</v>
      </c>
      <c r="AB33" s="69">
        <v>31.820981010322999</v>
      </c>
      <c r="AC33" s="310">
        <v>15.5842715369975</v>
      </c>
      <c r="AD33" s="69">
        <v>32.446041960888998</v>
      </c>
      <c r="AE33" s="1"/>
      <c r="AF33" s="70" t="s">
        <v>76</v>
      </c>
      <c r="AG33" s="183">
        <f>AVERAGE(AA24:AA33)</f>
        <v>16.05679060754915</v>
      </c>
      <c r="AH33" s="72">
        <f>AVERAGE(AB24:AB33)</f>
        <v>31.611734303562532</v>
      </c>
      <c r="AI33" s="202">
        <f>AVERAGE(AC24:AC33)</f>
        <v>15.909021299904932</v>
      </c>
      <c r="AJ33" s="72">
        <f>AVERAGE(AD24:AD33)</f>
        <v>31.514634687953201</v>
      </c>
      <c r="AK33" s="1"/>
      <c r="AL33" s="1"/>
      <c r="AM33" s="59" t="s">
        <v>210</v>
      </c>
      <c r="AN33" s="231">
        <v>17.41</v>
      </c>
      <c r="AO33" s="188">
        <v>29.54</v>
      </c>
      <c r="AP33" s="231">
        <v>17.420000000000002</v>
      </c>
      <c r="AQ33" s="188">
        <v>29.51</v>
      </c>
      <c r="AR33" s="258"/>
      <c r="AS33" s="221"/>
      <c r="AT33" s="258"/>
      <c r="AU33" s="221"/>
      <c r="AV33" s="258"/>
      <c r="AW33" s="221"/>
      <c r="AX33" s="258"/>
      <c r="AY33" s="221"/>
      <c r="BA33" s="59" t="s">
        <v>210</v>
      </c>
      <c r="BB33" s="87">
        <v>1</v>
      </c>
      <c r="BC33" s="298">
        <v>21.14</v>
      </c>
      <c r="BD33" s="299">
        <v>27.89</v>
      </c>
      <c r="BE33" s="291">
        <v>21.09</v>
      </c>
      <c r="BF33" s="293">
        <v>27.68</v>
      </c>
      <c r="BG33" s="291">
        <v>20.18</v>
      </c>
      <c r="BH33" s="293">
        <v>28.02</v>
      </c>
      <c r="BI33" s="291">
        <v>20.28</v>
      </c>
      <c r="BJ33" s="293">
        <v>28.18</v>
      </c>
      <c r="BK33" s="291">
        <v>15.94</v>
      </c>
      <c r="BL33" s="293">
        <v>28.4</v>
      </c>
      <c r="BN33" s="311"/>
      <c r="BO33" s="221"/>
      <c r="BP33" s="311"/>
      <c r="BQ33" s="221"/>
      <c r="BR33" s="311"/>
      <c r="BS33" s="221"/>
      <c r="BT33" s="220"/>
      <c r="BU33" s="221"/>
      <c r="BV33" s="220"/>
      <c r="BW33" s="221"/>
      <c r="BY33" s="59" t="s">
        <v>210</v>
      </c>
      <c r="BZ33" s="284">
        <v>1</v>
      </c>
      <c r="CA33" s="285">
        <v>1</v>
      </c>
      <c r="CB33" s="286" t="s">
        <v>64</v>
      </c>
      <c r="CC33" s="287">
        <v>29.576213624551201</v>
      </c>
      <c r="CE33" s="59" t="s">
        <v>210</v>
      </c>
      <c r="CF33" s="284">
        <v>1</v>
      </c>
      <c r="CG33" s="319">
        <v>1</v>
      </c>
      <c r="CH33" s="345" t="s">
        <v>87</v>
      </c>
    </row>
    <row r="34" spans="2:86" ht="15.75" customHeight="1" x14ac:dyDescent="0.25">
      <c r="B34" s="357" t="s">
        <v>129</v>
      </c>
      <c r="C34" s="358"/>
      <c r="D34" s="358"/>
      <c r="E34" s="359"/>
      <c r="F34" s="360" t="s">
        <v>62</v>
      </c>
      <c r="G34" s="361"/>
      <c r="H34" s="361"/>
      <c r="I34" s="362"/>
      <c r="J34" s="29"/>
      <c r="U34" s="91"/>
      <c r="V34" s="91"/>
      <c r="Z34" s="92" t="s">
        <v>130</v>
      </c>
      <c r="AA34" s="42">
        <v>20.239999999999998</v>
      </c>
      <c r="AB34" s="43">
        <v>29.653188722502701</v>
      </c>
      <c r="AC34" s="42">
        <v>21.1728490747882</v>
      </c>
      <c r="AD34" s="43">
        <v>29.428524596650401</v>
      </c>
      <c r="AK34" s="1"/>
      <c r="AL34" s="1"/>
      <c r="AM34" s="93" t="s">
        <v>130</v>
      </c>
      <c r="AN34" s="73">
        <v>20.61</v>
      </c>
      <c r="AO34" s="185">
        <v>28.9</v>
      </c>
      <c r="AP34" s="73">
        <v>18.940000000000001</v>
      </c>
      <c r="AQ34" s="185">
        <v>28.65</v>
      </c>
      <c r="AR34" s="255"/>
      <c r="AS34" s="256"/>
      <c r="AT34" s="257"/>
      <c r="AU34" s="213"/>
      <c r="AV34" s="257"/>
      <c r="AW34" s="213"/>
      <c r="AX34" s="257"/>
      <c r="AY34" s="213"/>
      <c r="BA34" s="93" t="s">
        <v>130</v>
      </c>
      <c r="BB34" s="44" t="s">
        <v>61</v>
      </c>
      <c r="BC34" s="300">
        <v>17.02</v>
      </c>
      <c r="BD34" s="292">
        <v>29.32</v>
      </c>
      <c r="BE34" s="301"/>
      <c r="BF34" s="302"/>
      <c r="BG34" s="301"/>
      <c r="BH34" s="302"/>
      <c r="BI34" s="301"/>
      <c r="BJ34" s="302"/>
      <c r="BK34" s="301"/>
      <c r="BL34" s="302"/>
      <c r="BN34" s="249"/>
      <c r="BO34" s="250"/>
      <c r="BP34" s="249"/>
      <c r="BQ34" s="250"/>
      <c r="BR34" s="249"/>
      <c r="BS34" s="250"/>
      <c r="BT34" s="249"/>
      <c r="BU34" s="250"/>
      <c r="BV34" s="249"/>
      <c r="BW34" s="250"/>
      <c r="BY34" s="93" t="s">
        <v>130</v>
      </c>
      <c r="BZ34" s="58" t="s">
        <v>61</v>
      </c>
      <c r="CA34" s="74" t="s">
        <v>61</v>
      </c>
      <c r="CB34" s="197">
        <v>13.6682310284188</v>
      </c>
      <c r="CC34" s="43">
        <v>31.6629855565137</v>
      </c>
    </row>
    <row r="35" spans="2:86" ht="15.75" thickBot="1" x14ac:dyDescent="0.3">
      <c r="B35" s="347" t="s">
        <v>131</v>
      </c>
      <c r="C35" s="348"/>
      <c r="D35" s="348"/>
      <c r="E35" s="349"/>
      <c r="F35" s="350" t="s">
        <v>62</v>
      </c>
      <c r="G35" s="351"/>
      <c r="H35" s="351"/>
      <c r="I35" s="352"/>
      <c r="U35" s="1"/>
      <c r="V35" s="1"/>
      <c r="W35" s="1"/>
      <c r="X35" s="94"/>
      <c r="Z35" s="95" t="s">
        <v>132</v>
      </c>
      <c r="AA35" s="45" t="s">
        <v>64</v>
      </c>
      <c r="AB35" s="54">
        <v>29.625843897483001</v>
      </c>
      <c r="AC35" s="45" t="s">
        <v>64</v>
      </c>
      <c r="AD35" s="54">
        <v>29.1124410190424</v>
      </c>
      <c r="AK35" s="1"/>
      <c r="AL35" s="1"/>
      <c r="AM35" s="96" t="s">
        <v>132</v>
      </c>
      <c r="AN35" s="182" t="s">
        <v>64</v>
      </c>
      <c r="AO35" s="187">
        <v>29.19</v>
      </c>
      <c r="AP35" s="182" t="s">
        <v>64</v>
      </c>
      <c r="AQ35" s="185">
        <v>29.08</v>
      </c>
      <c r="AR35" s="182" t="s">
        <v>64</v>
      </c>
      <c r="AS35" s="185">
        <v>29.02</v>
      </c>
      <c r="AT35" s="182" t="s">
        <v>64</v>
      </c>
      <c r="AU35" s="185">
        <v>29.14</v>
      </c>
      <c r="AV35" s="182" t="s">
        <v>64</v>
      </c>
      <c r="AW35" s="185">
        <v>29</v>
      </c>
      <c r="AX35" s="182" t="s">
        <v>64</v>
      </c>
      <c r="AY35" s="260">
        <v>29.36</v>
      </c>
      <c r="BA35" s="96" t="s">
        <v>132</v>
      </c>
      <c r="BB35" s="55" t="s">
        <v>61</v>
      </c>
      <c r="BC35" s="189" t="s">
        <v>64</v>
      </c>
      <c r="BD35" s="54">
        <v>28.87</v>
      </c>
      <c r="BE35" s="216"/>
      <c r="BF35" s="270"/>
      <c r="BG35" s="216"/>
      <c r="BH35" s="270"/>
      <c r="BI35" s="216"/>
      <c r="BJ35" s="270"/>
      <c r="BK35" s="216"/>
      <c r="BL35" s="270"/>
      <c r="BN35" s="251"/>
      <c r="BO35" s="252"/>
      <c r="BP35" s="251"/>
      <c r="BQ35" s="252"/>
      <c r="BR35" s="251"/>
      <c r="BS35" s="252"/>
      <c r="BT35" s="251"/>
      <c r="BU35" s="252"/>
      <c r="BV35" s="251"/>
      <c r="BW35" s="252"/>
      <c r="BY35" s="96" t="s">
        <v>132</v>
      </c>
      <c r="BZ35" s="97" t="s">
        <v>61</v>
      </c>
      <c r="CA35" s="55" t="s">
        <v>61</v>
      </c>
      <c r="CB35" s="200" t="s">
        <v>64</v>
      </c>
      <c r="CC35" s="53">
        <v>29.676717282900299</v>
      </c>
    </row>
    <row r="36" spans="2:86" ht="15.75" thickBot="1" x14ac:dyDescent="0.3">
      <c r="U36" s="98"/>
      <c r="V36" s="76"/>
      <c r="W36" s="76"/>
      <c r="X36" s="94"/>
      <c r="Z36" s="95" t="s">
        <v>133</v>
      </c>
      <c r="AA36" s="45" t="s">
        <v>64</v>
      </c>
      <c r="AB36" s="54">
        <v>29.444130045354299</v>
      </c>
      <c r="AC36" s="45" t="s">
        <v>64</v>
      </c>
      <c r="AD36" s="54">
        <v>29.130995626429101</v>
      </c>
      <c r="AK36" s="1"/>
      <c r="AL36" s="1"/>
      <c r="AM36" s="99" t="s">
        <v>134</v>
      </c>
      <c r="AN36" s="183" t="s">
        <v>64</v>
      </c>
      <c r="AO36" s="188">
        <v>29.05</v>
      </c>
      <c r="AP36" s="220"/>
      <c r="AQ36" s="259"/>
      <c r="AR36" s="220"/>
      <c r="AS36" s="259"/>
      <c r="AT36" s="220"/>
      <c r="AU36" s="259"/>
      <c r="AV36" s="220"/>
      <c r="AW36" s="259"/>
      <c r="AX36" s="220"/>
      <c r="AY36" s="259"/>
      <c r="BA36" s="99" t="s">
        <v>134</v>
      </c>
      <c r="BB36" s="87" t="s">
        <v>61</v>
      </c>
      <c r="BC36" s="190" t="s">
        <v>64</v>
      </c>
      <c r="BD36" s="72">
        <v>28.34</v>
      </c>
      <c r="BE36" s="220"/>
      <c r="BF36" s="259"/>
      <c r="BG36" s="220"/>
      <c r="BH36" s="259"/>
      <c r="BI36" s="220"/>
      <c r="BJ36" s="259"/>
      <c r="BK36" s="220"/>
      <c r="BL36" s="259"/>
      <c r="BN36" s="253"/>
      <c r="BO36" s="254"/>
      <c r="BP36" s="253"/>
      <c r="BQ36" s="254"/>
      <c r="BR36" s="253"/>
      <c r="BS36" s="254"/>
      <c r="BT36" s="253"/>
      <c r="BU36" s="254"/>
      <c r="BV36" s="253"/>
      <c r="BW36" s="254"/>
      <c r="BY36" s="99" t="s">
        <v>134</v>
      </c>
      <c r="BZ36" s="71" t="s">
        <v>61</v>
      </c>
      <c r="CA36" s="87" t="s">
        <v>61</v>
      </c>
      <c r="CB36" s="202" t="s">
        <v>64</v>
      </c>
      <c r="CC36" s="69">
        <v>30.2058206430052</v>
      </c>
    </row>
    <row r="37" spans="2:86" ht="15.75" customHeight="1" thickBot="1" x14ac:dyDescent="0.3">
      <c r="B37" s="100" t="s">
        <v>135</v>
      </c>
      <c r="T37" s="101"/>
      <c r="U37" s="102"/>
      <c r="V37" s="76"/>
      <c r="W37" s="76"/>
      <c r="X37" s="94"/>
      <c r="Z37" s="103" t="s">
        <v>211</v>
      </c>
      <c r="AA37" s="59" t="s">
        <v>64</v>
      </c>
      <c r="AB37" s="72">
        <v>29.3243809986371</v>
      </c>
      <c r="AC37" s="59" t="s">
        <v>64</v>
      </c>
      <c r="AD37" s="72">
        <v>29.383679565886901</v>
      </c>
      <c r="AK37" s="1"/>
      <c r="AL37" s="1"/>
      <c r="AM37" s="91" t="s">
        <v>212</v>
      </c>
      <c r="BA37" s="1" t="s">
        <v>213</v>
      </c>
      <c r="BY37" s="1" t="s">
        <v>214</v>
      </c>
    </row>
    <row r="38" spans="2:86" ht="15.75" thickBot="1" x14ac:dyDescent="0.3">
      <c r="B38" s="4" t="s">
        <v>139</v>
      </c>
      <c r="U38" s="102"/>
      <c r="V38" s="76"/>
      <c r="W38" s="76"/>
      <c r="X38" s="94"/>
      <c r="Z38" s="1" t="s">
        <v>215</v>
      </c>
      <c r="AA38" s="1"/>
      <c r="AB38" s="1"/>
      <c r="AC38" s="1"/>
      <c r="AD38" s="1"/>
      <c r="AE38" s="1"/>
      <c r="AM38" s="1" t="s">
        <v>141</v>
      </c>
    </row>
    <row r="39" spans="2:86" ht="15.75" thickBot="1" x14ac:dyDescent="0.3">
      <c r="B39" s="1" t="s">
        <v>142</v>
      </c>
      <c r="C39" s="104">
        <v>45554</v>
      </c>
      <c r="K39" s="105" t="s">
        <v>143</v>
      </c>
      <c r="L39" s="106" t="s">
        <v>86</v>
      </c>
      <c r="M39" s="107" t="s">
        <v>63</v>
      </c>
      <c r="N39" s="107" t="s">
        <v>144</v>
      </c>
      <c r="O39" s="108" t="s">
        <v>145</v>
      </c>
      <c r="Q39" s="109" t="s">
        <v>146</v>
      </c>
      <c r="R39" s="110">
        <f>L42/SUM(L42,O42)</f>
        <v>1</v>
      </c>
      <c r="U39" s="102"/>
      <c r="V39" s="76"/>
      <c r="W39" s="76"/>
      <c r="Z39" s="91"/>
      <c r="AA39" s="1"/>
      <c r="AB39" s="1"/>
      <c r="AC39" s="1"/>
      <c r="AD39" s="1"/>
      <c r="AE39" s="1"/>
      <c r="AM39" s="1" t="s">
        <v>216</v>
      </c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  <c r="AX39" s="111"/>
      <c r="AY39" s="111"/>
    </row>
    <row r="40" spans="2:86" ht="15" customHeight="1" x14ac:dyDescent="0.25">
      <c r="B40" s="1" t="s">
        <v>148</v>
      </c>
      <c r="C40" s="104">
        <v>45555</v>
      </c>
      <c r="K40" s="112" t="s">
        <v>149</v>
      </c>
      <c r="L40" s="30">
        <f>COUNTIF($W$9:$W$13,L39)</f>
        <v>0</v>
      </c>
      <c r="M40" s="113">
        <f>COUNTIF($W$9:$W$13,M39)</f>
        <v>5</v>
      </c>
      <c r="N40" s="113">
        <f>COUNTIF($W$9:$W$13,N39)</f>
        <v>0</v>
      </c>
      <c r="O40" s="74">
        <f>COUNTIF($W$9:$W$13,O39)</f>
        <v>0</v>
      </c>
      <c r="Q40" s="114" t="s">
        <v>150</v>
      </c>
      <c r="R40" s="115">
        <f>M42/SUM(M42,N42)</f>
        <v>1</v>
      </c>
      <c r="U40" s="102"/>
      <c r="X40" s="116"/>
      <c r="AM40" s="331" t="s">
        <v>217</v>
      </c>
      <c r="AN40" s="331"/>
      <c r="AO40" s="331"/>
      <c r="AP40" s="332"/>
      <c r="AQ40" s="331"/>
      <c r="AR40" s="331"/>
      <c r="AS40" s="332"/>
      <c r="AT40" s="333"/>
      <c r="AU40" s="334"/>
      <c r="AV40" s="334"/>
      <c r="AW40" s="334"/>
      <c r="AX40" s="334"/>
      <c r="AY40" s="111"/>
      <c r="AZ40" s="111"/>
      <c r="BA40" s="111"/>
      <c r="BB40" s="111"/>
      <c r="BC40" s="111"/>
      <c r="BD40" s="111"/>
      <c r="BE40" s="111"/>
      <c r="BF40" s="111"/>
    </row>
    <row r="41" spans="2:86" ht="15" customHeight="1" thickBot="1" x14ac:dyDescent="0.3">
      <c r="B41" s="1" t="s">
        <v>151</v>
      </c>
      <c r="C41" s="102" t="s">
        <v>152</v>
      </c>
      <c r="K41" s="119" t="s">
        <v>153</v>
      </c>
      <c r="L41" s="59">
        <f>COUNTIF($W$14:$W$33,L39)</f>
        <v>14</v>
      </c>
      <c r="M41" s="120">
        <f>COUNTIF($W$14:$W$33,M39)</f>
        <v>6</v>
      </c>
      <c r="N41" s="120">
        <f>COUNTIF($W$14:$W$33,N39)</f>
        <v>0</v>
      </c>
      <c r="O41" s="87">
        <f>COUNTIF($W$14:$W$33,O39)</f>
        <v>0</v>
      </c>
      <c r="Q41" s="114" t="s">
        <v>154</v>
      </c>
      <c r="R41" s="115">
        <f>1-R39</f>
        <v>0</v>
      </c>
      <c r="U41" s="98"/>
      <c r="V41" s="121"/>
      <c r="W41" s="121"/>
      <c r="X41" s="116"/>
      <c r="AJ41" s="118"/>
      <c r="AK41" s="111"/>
      <c r="AL41" s="111"/>
      <c r="AM41" s="122"/>
      <c r="AP41" s="117"/>
      <c r="AS41" s="117"/>
      <c r="AT41" s="122"/>
      <c r="AU41" s="117"/>
      <c r="AV41" s="117"/>
      <c r="AW41" s="117"/>
      <c r="AX41" s="117"/>
      <c r="AY41" s="117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</row>
    <row r="42" spans="2:86" ht="15.75" thickBot="1" x14ac:dyDescent="0.3">
      <c r="L42" s="2">
        <f>SUM(L40:L41)</f>
        <v>14</v>
      </c>
      <c r="M42" s="2">
        <f>SUM(M40:M41)</f>
        <v>11</v>
      </c>
      <c r="N42" s="2">
        <f>SUM(N40:N41)</f>
        <v>0</v>
      </c>
      <c r="O42" s="2">
        <f>SUM(O40:O41)</f>
        <v>0</v>
      </c>
      <c r="Q42" s="114" t="s">
        <v>155</v>
      </c>
      <c r="R42" s="123">
        <f>1-R40</f>
        <v>0</v>
      </c>
      <c r="V42" s="121"/>
      <c r="W42" s="121"/>
      <c r="X42" s="116"/>
      <c r="AF42" s="118"/>
      <c r="AG42" s="111"/>
      <c r="AH42" s="111"/>
      <c r="AI42" s="111"/>
      <c r="AJ42" s="122"/>
      <c r="AK42" s="117"/>
      <c r="AL42" s="117"/>
      <c r="AM42" s="122"/>
      <c r="AP42" s="117"/>
      <c r="AS42" s="117"/>
      <c r="AT42" s="122"/>
      <c r="AU42" s="117"/>
      <c r="AV42" s="117"/>
      <c r="AW42" s="117"/>
      <c r="AX42" s="117"/>
      <c r="AY42" s="117"/>
      <c r="AZ42" s="2"/>
      <c r="BA42" s="101"/>
      <c r="BB42" s="101"/>
      <c r="BC42" s="101"/>
      <c r="BD42" s="101"/>
      <c r="BE42" s="101"/>
      <c r="BF42" s="101"/>
      <c r="BG42" s="101"/>
      <c r="BH42" s="101"/>
      <c r="BI42" s="101"/>
      <c r="BJ42" s="101"/>
      <c r="BK42" s="101"/>
      <c r="BL42" s="101"/>
    </row>
    <row r="43" spans="2:86" ht="15.75" customHeight="1" thickBot="1" x14ac:dyDescent="0.3">
      <c r="B43" s="124" t="s">
        <v>156</v>
      </c>
      <c r="C43" s="125" t="s">
        <v>157</v>
      </c>
      <c r="D43" s="126" t="s">
        <v>158</v>
      </c>
      <c r="E43" s="124" t="s">
        <v>159</v>
      </c>
      <c r="L43" s="2"/>
      <c r="M43" s="2"/>
      <c r="N43" s="2"/>
      <c r="O43" s="2"/>
      <c r="Q43" s="127" t="s">
        <v>160</v>
      </c>
      <c r="R43" s="128">
        <f>SUM(L42:M42)/SUM(L42:O42)</f>
        <v>1</v>
      </c>
      <c r="V43" s="121"/>
      <c r="W43" s="121"/>
      <c r="X43" s="116"/>
      <c r="AF43" s="122"/>
      <c r="AG43" s="117"/>
      <c r="AH43" s="117"/>
      <c r="AI43" s="117"/>
      <c r="AJ43" s="122"/>
      <c r="AK43" s="117"/>
      <c r="AL43" s="117"/>
      <c r="AM43" s="122"/>
      <c r="AP43" s="117"/>
      <c r="AS43" s="117"/>
      <c r="AT43" s="122"/>
      <c r="AU43" s="117"/>
      <c r="AV43" s="117"/>
      <c r="AW43" s="117"/>
      <c r="AX43" s="117"/>
      <c r="AY43" s="117"/>
      <c r="AZ43" s="2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</row>
    <row r="44" spans="2:86" x14ac:dyDescent="0.25">
      <c r="B44" s="129">
        <v>1E-4</v>
      </c>
      <c r="C44" s="130" t="s">
        <v>161</v>
      </c>
      <c r="D44" s="131" t="s">
        <v>161</v>
      </c>
      <c r="E44" s="112">
        <v>6200</v>
      </c>
      <c r="R44" s="102"/>
      <c r="V44" s="121"/>
      <c r="W44" s="121"/>
      <c r="AF44" s="122"/>
      <c r="AG44" s="117"/>
      <c r="AH44" s="117"/>
      <c r="AI44" s="117"/>
      <c r="AJ44" s="122"/>
      <c r="AK44" s="117"/>
      <c r="AL44" s="117"/>
      <c r="AM44" s="122"/>
      <c r="AP44" s="117"/>
      <c r="AS44" s="117"/>
      <c r="AT44" s="122"/>
      <c r="AU44" s="117"/>
      <c r="AV44" s="117"/>
      <c r="AW44" s="117"/>
      <c r="AX44" s="117"/>
      <c r="AY44" s="117"/>
      <c r="AZ44" s="2"/>
      <c r="BA44" s="101"/>
      <c r="BB44" s="101"/>
      <c r="BC44" s="101"/>
      <c r="BD44" s="101"/>
      <c r="BE44" s="101"/>
      <c r="BF44" s="101"/>
      <c r="BG44" s="101"/>
      <c r="BH44" s="101"/>
      <c r="BI44" s="101"/>
      <c r="BJ44" s="101"/>
      <c r="BK44" s="101"/>
      <c r="BL44" s="101"/>
    </row>
    <row r="45" spans="2:86" ht="15.75" thickBot="1" x14ac:dyDescent="0.3">
      <c r="B45" s="208">
        <v>1.0000000000000001E-5</v>
      </c>
      <c r="C45" s="209">
        <v>72</v>
      </c>
      <c r="D45" s="210">
        <v>52</v>
      </c>
      <c r="E45" s="211">
        <v>620</v>
      </c>
      <c r="F45" s="1" t="s">
        <v>218</v>
      </c>
      <c r="R45" s="102"/>
      <c r="V45" s="121"/>
      <c r="W45" s="121"/>
      <c r="X45" s="121"/>
      <c r="AF45" s="122"/>
      <c r="AG45" s="117"/>
      <c r="AH45" s="117"/>
      <c r="AI45" s="117"/>
      <c r="AJ45" s="122"/>
      <c r="AK45" s="117"/>
      <c r="AL45" s="117"/>
      <c r="AM45" s="117"/>
      <c r="AN45" s="117"/>
      <c r="AO45" s="117"/>
      <c r="AP45" s="117"/>
      <c r="AQ45" s="117"/>
      <c r="AR45" s="117"/>
      <c r="AS45" s="117"/>
      <c r="AT45" s="122"/>
      <c r="AU45" s="117"/>
      <c r="AV45" s="117"/>
      <c r="AW45" s="117"/>
      <c r="AX45" s="117"/>
      <c r="AY45" s="117"/>
      <c r="AZ45" s="2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</row>
    <row r="46" spans="2:86" ht="15.75" thickBot="1" x14ac:dyDescent="0.3">
      <c r="B46" s="133">
        <v>9.9999999999999995E-7</v>
      </c>
      <c r="C46" s="134">
        <v>12</v>
      </c>
      <c r="D46" s="135">
        <v>3</v>
      </c>
      <c r="E46" s="136">
        <v>62</v>
      </c>
      <c r="K46" s="105" t="s">
        <v>54</v>
      </c>
      <c r="L46" s="106" t="s">
        <v>86</v>
      </c>
      <c r="M46" s="107" t="s">
        <v>63</v>
      </c>
      <c r="N46" s="107" t="s">
        <v>144</v>
      </c>
      <c r="O46" s="108" t="s">
        <v>145</v>
      </c>
      <c r="Q46" s="109" t="s">
        <v>146</v>
      </c>
      <c r="R46" s="110">
        <f>L49/SUM(L49,O49)</f>
        <v>1</v>
      </c>
      <c r="AF46" s="122"/>
      <c r="AG46" s="117"/>
      <c r="AH46" s="117"/>
      <c r="AI46" s="117"/>
      <c r="AJ46" s="122"/>
      <c r="AK46" s="117"/>
      <c r="AL46" s="117"/>
      <c r="AM46" s="117"/>
      <c r="AN46" s="117"/>
      <c r="AO46" s="117"/>
      <c r="AP46" s="117"/>
      <c r="AQ46" s="117"/>
      <c r="AR46" s="117"/>
      <c r="AS46" s="117"/>
      <c r="AT46" s="122"/>
      <c r="AU46" s="330"/>
      <c r="AV46" s="137"/>
      <c r="AW46" s="137"/>
      <c r="AX46" s="137"/>
      <c r="AY46" s="137"/>
      <c r="AZ46" s="2"/>
      <c r="BA46" s="101"/>
      <c r="BB46" s="101"/>
      <c r="BC46" s="101"/>
      <c r="BD46" s="101"/>
      <c r="BE46" s="101"/>
      <c r="BF46" s="101"/>
      <c r="BG46" s="101"/>
      <c r="BH46" s="101"/>
      <c r="BI46" s="101"/>
      <c r="BJ46" s="101"/>
      <c r="BK46" s="101"/>
      <c r="BL46" s="101"/>
    </row>
    <row r="47" spans="2:86" x14ac:dyDescent="0.25">
      <c r="B47" s="1" t="s">
        <v>163</v>
      </c>
      <c r="K47" s="112" t="s">
        <v>149</v>
      </c>
      <c r="L47" s="30">
        <f>COUNTIF($X$9:$X$13,L46)</f>
        <v>0</v>
      </c>
      <c r="M47" s="113">
        <f t="shared" ref="M47:O47" si="0">COUNTIF($X$9:$X$13,M46)</f>
        <v>5</v>
      </c>
      <c r="N47" s="113">
        <f t="shared" si="0"/>
        <v>0</v>
      </c>
      <c r="O47" s="74">
        <f t="shared" si="0"/>
        <v>0</v>
      </c>
      <c r="Q47" s="114" t="s">
        <v>150</v>
      </c>
      <c r="R47" s="115">
        <f>M49/SUM(M49,N49)</f>
        <v>1</v>
      </c>
      <c r="AF47" s="122"/>
      <c r="AG47" s="117"/>
      <c r="AH47" s="117"/>
      <c r="AI47" s="117"/>
      <c r="AJ47" s="122"/>
      <c r="AK47" s="117"/>
      <c r="AL47" s="117"/>
      <c r="AM47" s="117"/>
      <c r="AN47" s="117"/>
      <c r="AO47" s="117"/>
      <c r="AP47" s="117"/>
      <c r="AQ47" s="117"/>
      <c r="AR47" s="117"/>
      <c r="AZ47" s="2"/>
      <c r="BA47" s="101"/>
      <c r="BB47" s="101"/>
      <c r="BC47" s="101"/>
      <c r="BD47" s="101"/>
      <c r="BE47" s="101"/>
      <c r="BF47" s="101"/>
      <c r="BG47" s="101"/>
      <c r="BH47" s="101"/>
      <c r="BI47" s="101"/>
      <c r="BJ47" s="101"/>
      <c r="BK47" s="101"/>
      <c r="BL47" s="101"/>
    </row>
    <row r="48" spans="2:86" ht="15.75" thickBot="1" x14ac:dyDescent="0.3">
      <c r="K48" s="119" t="s">
        <v>153</v>
      </c>
      <c r="L48" s="59">
        <f>COUNTIF($X$14:$X$33,L46)</f>
        <v>14</v>
      </c>
      <c r="M48" s="120">
        <f t="shared" ref="M48:O48" si="1">COUNTIF($X$14:$X$33,M46)</f>
        <v>6</v>
      </c>
      <c r="N48" s="120">
        <f t="shared" si="1"/>
        <v>0</v>
      </c>
      <c r="O48" s="87">
        <f t="shared" si="1"/>
        <v>0</v>
      </c>
      <c r="Q48" s="114" t="s">
        <v>154</v>
      </c>
      <c r="R48" s="115">
        <f>1-R46</f>
        <v>0</v>
      </c>
      <c r="AF48" s="122"/>
      <c r="AG48" s="117"/>
      <c r="AH48" s="117"/>
      <c r="AI48" s="117"/>
      <c r="AJ48" s="122"/>
      <c r="AK48" s="117"/>
      <c r="AL48" s="117"/>
      <c r="AZ48" s="2"/>
      <c r="BA48" s="101"/>
      <c r="BB48" s="101"/>
      <c r="BC48" s="101"/>
      <c r="BD48" s="101"/>
      <c r="BE48" s="101"/>
      <c r="BF48" s="101"/>
      <c r="BG48" s="101"/>
      <c r="BH48" s="101"/>
      <c r="BI48" s="101"/>
      <c r="BJ48" s="101"/>
      <c r="BK48" s="101"/>
      <c r="BL48" s="101"/>
    </row>
    <row r="49" spans="2:77" x14ac:dyDescent="0.25">
      <c r="B49" s="4"/>
      <c r="L49" s="2">
        <f>SUM(L47:L48)</f>
        <v>14</v>
      </c>
      <c r="M49" s="2">
        <f>SUM(M47:M48)</f>
        <v>11</v>
      </c>
      <c r="N49" s="2">
        <f>SUM(N47:N48)</f>
        <v>0</v>
      </c>
      <c r="O49" s="2">
        <f>SUM(O47:O48)</f>
        <v>0</v>
      </c>
      <c r="Q49" s="114" t="s">
        <v>155</v>
      </c>
      <c r="R49" s="123">
        <f>1-R47</f>
        <v>0</v>
      </c>
      <c r="AF49" s="122"/>
      <c r="AG49" s="117"/>
      <c r="AH49" s="117"/>
      <c r="AI49" s="117"/>
      <c r="AJ49" s="122"/>
      <c r="AK49" s="117"/>
      <c r="AL49" s="117"/>
      <c r="AZ49" s="2"/>
      <c r="BA49" s="101"/>
      <c r="BB49" s="101"/>
      <c r="BC49" s="101"/>
      <c r="BD49" s="101"/>
      <c r="BE49" s="101"/>
      <c r="BF49" s="101"/>
      <c r="BG49" s="101"/>
      <c r="BH49" s="101"/>
      <c r="BI49" s="101"/>
      <c r="BJ49" s="101"/>
      <c r="BK49" s="101"/>
      <c r="BL49" s="101"/>
    </row>
    <row r="50" spans="2:77" ht="15.75" thickBot="1" x14ac:dyDescent="0.3">
      <c r="C50" s="145"/>
      <c r="Q50" s="127" t="s">
        <v>160</v>
      </c>
      <c r="R50" s="128">
        <f>SUM(L49:M49)/SUM(L49:O49)</f>
        <v>1</v>
      </c>
      <c r="AF50" s="122"/>
      <c r="AG50" s="117"/>
      <c r="AH50" s="117"/>
      <c r="AI50" s="117"/>
      <c r="AJ50" s="117"/>
      <c r="AK50" s="117"/>
      <c r="AL50" s="117"/>
    </row>
    <row r="51" spans="2:77" x14ac:dyDescent="0.25">
      <c r="C51" s="145"/>
      <c r="M51" s="138"/>
      <c r="N51" s="139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2:77" x14ac:dyDescent="0.25">
      <c r="C52" s="145"/>
      <c r="M52" s="140"/>
      <c r="N52" s="102"/>
      <c r="P52" s="140"/>
      <c r="Q52" s="102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T52" s="141"/>
      <c r="AU52" s="141"/>
      <c r="AV52" s="141"/>
      <c r="AW52" s="141"/>
    </row>
    <row r="53" spans="2:77" x14ac:dyDescent="0.25">
      <c r="AT53" s="141"/>
      <c r="AU53" s="141"/>
      <c r="AV53" s="141"/>
      <c r="AW53" s="141"/>
    </row>
    <row r="54" spans="2:77" x14ac:dyDescent="0.25">
      <c r="AT54" s="141"/>
      <c r="AU54" s="141"/>
      <c r="AV54" s="141"/>
      <c r="AW54" s="141"/>
    </row>
    <row r="55" spans="2:77" x14ac:dyDescent="0.25">
      <c r="B55" s="100" t="s">
        <v>164</v>
      </c>
      <c r="AT55" s="141"/>
      <c r="AU55" s="141"/>
      <c r="AV55" s="141"/>
      <c r="AW55" s="141"/>
      <c r="BY55" s="1" t="s">
        <v>219</v>
      </c>
    </row>
    <row r="56" spans="2:77" ht="15.75" thickBot="1" x14ac:dyDescent="0.3">
      <c r="B56" s="4" t="s">
        <v>139</v>
      </c>
      <c r="C56" s="104"/>
      <c r="E56" s="4" t="s">
        <v>167</v>
      </c>
      <c r="Z56" s="1" t="s">
        <v>220</v>
      </c>
      <c r="AM56" s="1" t="s">
        <v>221</v>
      </c>
      <c r="AT56" s="141"/>
      <c r="AU56" s="141"/>
      <c r="AV56" s="141"/>
      <c r="AW56" s="141"/>
      <c r="BA56" s="1" t="s">
        <v>222</v>
      </c>
    </row>
    <row r="57" spans="2:77" x14ac:dyDescent="0.25">
      <c r="B57" s="1" t="s">
        <v>142</v>
      </c>
      <c r="C57" s="104">
        <v>45555</v>
      </c>
      <c r="E57" s="109">
        <v>5</v>
      </c>
      <c r="F57" s="142">
        <v>12</v>
      </c>
      <c r="G57" s="142">
        <v>9</v>
      </c>
      <c r="H57" s="143">
        <v>16</v>
      </c>
      <c r="I57" s="102" t="s">
        <v>170</v>
      </c>
      <c r="J57" s="144">
        <f>IFERROR(AVERAGE(E57:H61),"-")</f>
        <v>9.9</v>
      </c>
      <c r="K57" s="1" t="s">
        <v>171</v>
      </c>
      <c r="AT57" s="141"/>
      <c r="AU57" s="141"/>
      <c r="AV57" s="141"/>
      <c r="AW57" s="141"/>
    </row>
    <row r="58" spans="2:77" x14ac:dyDescent="0.25">
      <c r="B58" s="1" t="s">
        <v>148</v>
      </c>
      <c r="C58" s="145">
        <v>45556</v>
      </c>
      <c r="E58" s="114">
        <v>14</v>
      </c>
      <c r="F58" s="146">
        <v>13</v>
      </c>
      <c r="G58" s="146">
        <v>12</v>
      </c>
      <c r="H58" s="147">
        <v>7</v>
      </c>
      <c r="I58" s="102" t="s">
        <v>172</v>
      </c>
      <c r="J58" s="102">
        <f>COUNTIF(E57:H61,"&gt;0")</f>
        <v>20</v>
      </c>
      <c r="K58" s="1" t="str">
        <f>"   &lt;&lt;  "&amp;J58/SUM(J58:J59)*100&amp;"%"</f>
        <v xml:space="preserve">   &lt;&lt;  100%</v>
      </c>
      <c r="AT58" s="141"/>
      <c r="AU58" s="141"/>
      <c r="AV58" s="141"/>
      <c r="AW58" s="141"/>
    </row>
    <row r="59" spans="2:77" x14ac:dyDescent="0.25">
      <c r="B59" s="1" t="s">
        <v>151</v>
      </c>
      <c r="C59" s="102" t="s">
        <v>152</v>
      </c>
      <c r="E59" s="114">
        <v>5</v>
      </c>
      <c r="F59" s="146">
        <v>10</v>
      </c>
      <c r="G59" s="146">
        <v>6</v>
      </c>
      <c r="H59" s="147">
        <v>7</v>
      </c>
      <c r="I59" s="102" t="s">
        <v>173</v>
      </c>
      <c r="J59" s="102">
        <f>COUNTIF(E57:H61,"=0")</f>
        <v>0</v>
      </c>
      <c r="K59" s="1" t="str">
        <f>"   &lt;&lt;  "&amp;J59/SUM(J58:J59)*100&amp;"%"</f>
        <v xml:space="preserve">   &lt;&lt;  0%</v>
      </c>
      <c r="AT59" s="141"/>
      <c r="AU59" s="141"/>
      <c r="AV59" s="141"/>
      <c r="AW59" s="141"/>
    </row>
    <row r="60" spans="2:77" x14ac:dyDescent="0.25">
      <c r="E60" s="114">
        <v>11</v>
      </c>
      <c r="F60" s="146">
        <v>12</v>
      </c>
      <c r="G60" s="146">
        <v>9</v>
      </c>
      <c r="H60" s="147">
        <v>8</v>
      </c>
      <c r="I60" s="102"/>
      <c r="J60" s="148"/>
      <c r="AT60" s="141"/>
      <c r="AU60" s="141"/>
      <c r="AV60" s="141"/>
      <c r="AW60" s="141"/>
    </row>
    <row r="61" spans="2:77" ht="15.75" thickBot="1" x14ac:dyDescent="0.3">
      <c r="E61" s="127">
        <v>11</v>
      </c>
      <c r="F61" s="149">
        <v>12</v>
      </c>
      <c r="G61" s="149">
        <v>7</v>
      </c>
      <c r="H61" s="150">
        <v>12</v>
      </c>
      <c r="I61" s="102"/>
      <c r="J61" s="102"/>
      <c r="AT61" s="141"/>
      <c r="AU61" s="141"/>
      <c r="AV61" s="141"/>
      <c r="AW61" s="141"/>
    </row>
    <row r="62" spans="2:77" x14ac:dyDescent="0.25">
      <c r="I62" s="102"/>
      <c r="J62" s="102"/>
      <c r="AT62" s="141"/>
      <c r="AU62" s="141"/>
      <c r="AV62" s="141"/>
      <c r="AW62" s="141"/>
    </row>
    <row r="63" spans="2:77" x14ac:dyDescent="0.25">
      <c r="I63" s="102"/>
      <c r="J63" s="102"/>
      <c r="AT63" s="141"/>
      <c r="AU63" s="141"/>
      <c r="AV63" s="141"/>
      <c r="AW63" s="141"/>
    </row>
    <row r="64" spans="2:77" x14ac:dyDescent="0.25">
      <c r="I64" s="102"/>
      <c r="J64" s="102"/>
      <c r="AT64" s="141"/>
      <c r="AU64" s="141"/>
      <c r="AV64" s="141"/>
      <c r="AW64" s="141"/>
    </row>
    <row r="65" spans="2:10" x14ac:dyDescent="0.25">
      <c r="I65" s="102"/>
      <c r="J65" s="102"/>
    </row>
    <row r="66" spans="2:10" x14ac:dyDescent="0.25">
      <c r="B66" s="100" t="s">
        <v>174</v>
      </c>
    </row>
    <row r="67" spans="2:10" x14ac:dyDescent="0.25">
      <c r="B67" s="4" t="s">
        <v>223</v>
      </c>
      <c r="C67" s="104"/>
    </row>
    <row r="68" spans="2:10" x14ac:dyDescent="0.25">
      <c r="B68" s="1" t="s">
        <v>176</v>
      </c>
      <c r="C68" s="104">
        <v>45558</v>
      </c>
    </row>
    <row r="69" spans="2:10" x14ac:dyDescent="0.25">
      <c r="B69" s="1" t="s">
        <v>148</v>
      </c>
      <c r="C69" s="145">
        <v>45560</v>
      </c>
    </row>
    <row r="70" spans="2:10" x14ac:dyDescent="0.25">
      <c r="B70" s="1" t="s">
        <v>151</v>
      </c>
      <c r="C70" s="102" t="s">
        <v>177</v>
      </c>
    </row>
    <row r="71" spans="2:10" ht="15.75" thickBot="1" x14ac:dyDescent="0.3"/>
    <row r="72" spans="2:10" ht="15.75" thickBot="1" x14ac:dyDescent="0.3">
      <c r="B72" s="151" t="s">
        <v>156</v>
      </c>
      <c r="C72" s="152" t="s">
        <v>157</v>
      </c>
      <c r="D72" s="153" t="s">
        <v>158</v>
      </c>
      <c r="E72" s="151" t="s">
        <v>178</v>
      </c>
    </row>
    <row r="73" spans="2:10" x14ac:dyDescent="0.25">
      <c r="B73" s="154">
        <v>0.1</v>
      </c>
      <c r="C73" s="155" t="s">
        <v>179</v>
      </c>
      <c r="D73" s="156" t="s">
        <v>179</v>
      </c>
      <c r="E73" s="157"/>
    </row>
    <row r="74" spans="2:10" x14ac:dyDescent="0.25">
      <c r="B74" s="158">
        <v>0.01</v>
      </c>
      <c r="C74" s="159" t="s">
        <v>179</v>
      </c>
      <c r="D74" s="160" t="s">
        <v>179</v>
      </c>
      <c r="E74" s="161"/>
    </row>
    <row r="75" spans="2:10" x14ac:dyDescent="0.25">
      <c r="B75" s="158">
        <v>1E-3</v>
      </c>
      <c r="C75" s="159" t="s">
        <v>179</v>
      </c>
      <c r="D75" s="160" t="s">
        <v>179</v>
      </c>
      <c r="E75" s="162"/>
    </row>
    <row r="76" spans="2:10" x14ac:dyDescent="0.25">
      <c r="B76" s="163">
        <v>1E-4</v>
      </c>
      <c r="C76" s="159" t="s">
        <v>179</v>
      </c>
      <c r="D76" s="160" t="s">
        <v>179</v>
      </c>
      <c r="E76" s="164"/>
    </row>
    <row r="77" spans="2:10" x14ac:dyDescent="0.25">
      <c r="B77" s="158">
        <v>1.0000000000000001E-5</v>
      </c>
      <c r="C77" s="159" t="s">
        <v>179</v>
      </c>
      <c r="D77" s="160" t="s">
        <v>179</v>
      </c>
      <c r="E77" s="164"/>
      <c r="G77" s="165"/>
    </row>
    <row r="78" spans="2:10" x14ac:dyDescent="0.25">
      <c r="B78" s="158">
        <v>9.9999999999999995E-7</v>
      </c>
      <c r="C78" s="282">
        <v>241</v>
      </c>
      <c r="D78" s="283">
        <v>223</v>
      </c>
      <c r="E78" s="164">
        <f>SUM(C78:D78)/(2*B78)</f>
        <v>232000000</v>
      </c>
      <c r="G78" s="165"/>
    </row>
    <row r="79" spans="2:10" ht="15.75" thickBot="1" x14ac:dyDescent="0.3">
      <c r="B79" s="166">
        <v>9.9999999999999995E-8</v>
      </c>
      <c r="C79" s="167">
        <v>25</v>
      </c>
      <c r="D79" s="168">
        <v>23</v>
      </c>
      <c r="E79" s="169"/>
    </row>
    <row r="80" spans="2:10" x14ac:dyDescent="0.25">
      <c r="B80" s="1" t="s">
        <v>163</v>
      </c>
    </row>
    <row r="82" spans="2:5" x14ac:dyDescent="0.25">
      <c r="B82" s="4" t="s">
        <v>224</v>
      </c>
      <c r="C82" s="104"/>
    </row>
    <row r="83" spans="2:5" x14ac:dyDescent="0.25">
      <c r="B83" s="1" t="s">
        <v>176</v>
      </c>
      <c r="C83" s="104">
        <v>45558</v>
      </c>
    </row>
    <row r="84" spans="2:5" x14ac:dyDescent="0.25">
      <c r="B84" s="1" t="s">
        <v>148</v>
      </c>
      <c r="C84" s="145">
        <v>45560</v>
      </c>
    </row>
    <row r="85" spans="2:5" x14ac:dyDescent="0.25">
      <c r="B85" s="1" t="s">
        <v>151</v>
      </c>
      <c r="C85" s="102" t="s">
        <v>177</v>
      </c>
    </row>
    <row r="86" spans="2:5" ht="15.75" thickBot="1" x14ac:dyDescent="0.3"/>
    <row r="87" spans="2:5" ht="15.75" thickBot="1" x14ac:dyDescent="0.3">
      <c r="B87" s="151" t="s">
        <v>156</v>
      </c>
      <c r="C87" s="152" t="s">
        <v>157</v>
      </c>
      <c r="D87" s="153" t="s">
        <v>158</v>
      </c>
      <c r="E87" s="151" t="s">
        <v>178</v>
      </c>
    </row>
    <row r="88" spans="2:5" x14ac:dyDescent="0.25">
      <c r="B88" s="129">
        <v>0.1</v>
      </c>
      <c r="C88" s="155" t="s">
        <v>179</v>
      </c>
      <c r="D88" s="156" t="s">
        <v>179</v>
      </c>
      <c r="E88" s="112"/>
    </row>
    <row r="89" spans="2:5" x14ac:dyDescent="0.25">
      <c r="B89" s="170">
        <v>0.01</v>
      </c>
      <c r="C89" s="282">
        <v>106</v>
      </c>
      <c r="D89" s="283">
        <v>109</v>
      </c>
      <c r="E89" s="232">
        <f>SUM(C89:D89)/(B89*2)</f>
        <v>10750</v>
      </c>
    </row>
    <row r="90" spans="2:5" x14ac:dyDescent="0.25">
      <c r="B90" s="170">
        <v>1E-3</v>
      </c>
      <c r="C90" s="159">
        <v>7</v>
      </c>
      <c r="D90" s="160">
        <v>8</v>
      </c>
      <c r="E90" s="132"/>
    </row>
    <row r="91" spans="2:5" x14ac:dyDescent="0.25">
      <c r="B91" s="172">
        <v>1E-4</v>
      </c>
      <c r="C91" s="159">
        <v>3</v>
      </c>
      <c r="D91" s="160">
        <v>3</v>
      </c>
      <c r="E91" s="171"/>
    </row>
    <row r="92" spans="2:5" x14ac:dyDescent="0.25">
      <c r="B92" s="170">
        <v>1.0000000000000001E-5</v>
      </c>
      <c r="C92" s="159">
        <v>0</v>
      </c>
      <c r="D92" s="160">
        <v>0</v>
      </c>
      <c r="E92" s="171"/>
    </row>
    <row r="93" spans="2:5" x14ac:dyDescent="0.25">
      <c r="B93" s="170">
        <v>9.9999999999999995E-7</v>
      </c>
      <c r="C93" s="159">
        <v>0</v>
      </c>
      <c r="D93" s="160">
        <v>0</v>
      </c>
      <c r="E93" s="170"/>
    </row>
    <row r="94" spans="2:5" ht="15.75" thickBot="1" x14ac:dyDescent="0.3">
      <c r="B94" s="133">
        <v>9.9999999999999995E-8</v>
      </c>
      <c r="C94" s="134">
        <v>0</v>
      </c>
      <c r="D94" s="135">
        <v>0</v>
      </c>
      <c r="E94" s="207"/>
    </row>
    <row r="95" spans="2:5" x14ac:dyDescent="0.25">
      <c r="B95" s="1" t="s">
        <v>163</v>
      </c>
    </row>
    <row r="98" spans="2:2" x14ac:dyDescent="0.25">
      <c r="B98" s="1" t="s">
        <v>225</v>
      </c>
    </row>
    <row r="133" spans="2:8" x14ac:dyDescent="0.25">
      <c r="B133" s="3"/>
      <c r="H133" s="3"/>
    </row>
    <row r="150" spans="2:2" x14ac:dyDescent="0.25">
      <c r="B150" s="3"/>
    </row>
  </sheetData>
  <mergeCells count="85">
    <mergeCell ref="CH7:CH8"/>
    <mergeCell ref="AC7:AD7"/>
    <mergeCell ref="CB7:CC7"/>
    <mergeCell ref="BR7:BS7"/>
    <mergeCell ref="BT7:BU7"/>
    <mergeCell ref="Z7:Z8"/>
    <mergeCell ref="AA7:AB7"/>
    <mergeCell ref="CE7:CE8"/>
    <mergeCell ref="CF7:CF8"/>
    <mergeCell ref="CG7:CG8"/>
    <mergeCell ref="B8:I8"/>
    <mergeCell ref="BI7:BJ7"/>
    <mergeCell ref="BK7:BL7"/>
    <mergeCell ref="BN7:BO7"/>
    <mergeCell ref="BP7:BQ7"/>
    <mergeCell ref="AX7:AY7"/>
    <mergeCell ref="BA7:BA8"/>
    <mergeCell ref="BB7:BB8"/>
    <mergeCell ref="BC7:BD7"/>
    <mergeCell ref="BE7:BF7"/>
    <mergeCell ref="BG7:BH7"/>
    <mergeCell ref="AM7:AM8"/>
    <mergeCell ref="AN7:AO7"/>
    <mergeCell ref="N7:Q7"/>
    <mergeCell ref="U7:V7"/>
    <mergeCell ref="W7:X7"/>
    <mergeCell ref="AI10:AJ10"/>
    <mergeCell ref="BV7:BW7"/>
    <mergeCell ref="BY7:BY8"/>
    <mergeCell ref="BZ7:BZ8"/>
    <mergeCell ref="CA7:CA8"/>
    <mergeCell ref="AP7:AQ7"/>
    <mergeCell ref="AR7:AS7"/>
    <mergeCell ref="AT7:AU7"/>
    <mergeCell ref="AV7:AW7"/>
    <mergeCell ref="B9:E9"/>
    <mergeCell ref="F9:I9"/>
    <mergeCell ref="B10:E10"/>
    <mergeCell ref="F10:I10"/>
    <mergeCell ref="AG10:AH10"/>
    <mergeCell ref="B18:E18"/>
    <mergeCell ref="F18:I18"/>
    <mergeCell ref="B11:E11"/>
    <mergeCell ref="F11:I11"/>
    <mergeCell ref="B12:E12"/>
    <mergeCell ref="F12:I12"/>
    <mergeCell ref="B13:E13"/>
    <mergeCell ref="F13:I13"/>
    <mergeCell ref="B14:E14"/>
    <mergeCell ref="F14:I14"/>
    <mergeCell ref="B16:I16"/>
    <mergeCell ref="B17:E17"/>
    <mergeCell ref="F17:I17"/>
    <mergeCell ref="B19:E19"/>
    <mergeCell ref="F19:I19"/>
    <mergeCell ref="B20:E20"/>
    <mergeCell ref="F20:I20"/>
    <mergeCell ref="B21:E21"/>
    <mergeCell ref="F21:I21"/>
    <mergeCell ref="B23:G23"/>
    <mergeCell ref="H23:I23"/>
    <mergeCell ref="B24:E24"/>
    <mergeCell ref="F24:I24"/>
    <mergeCell ref="B25:E25"/>
    <mergeCell ref="F25:I25"/>
    <mergeCell ref="B26:E26"/>
    <mergeCell ref="F26:I26"/>
    <mergeCell ref="B28:G28"/>
    <mergeCell ref="H28:I28"/>
    <mergeCell ref="B29:E29"/>
    <mergeCell ref="F29:I29"/>
    <mergeCell ref="B30:E30"/>
    <mergeCell ref="F30:I30"/>
    <mergeCell ref="AG30:AH30"/>
    <mergeCell ref="AI30:AJ30"/>
    <mergeCell ref="B31:E31"/>
    <mergeCell ref="F31:I31"/>
    <mergeCell ref="B35:E35"/>
    <mergeCell ref="F35:I35"/>
    <mergeCell ref="B32:E32"/>
    <mergeCell ref="F32:I32"/>
    <mergeCell ref="B33:E33"/>
    <mergeCell ref="F33:I33"/>
    <mergeCell ref="B34:E34"/>
    <mergeCell ref="F34:I34"/>
  </mergeCells>
  <phoneticPr fontId="12" type="noConversion"/>
  <pageMargins left="0.7" right="0.7" top="0.75" bottom="0.75" header="0.3" footer="0.3"/>
  <headerFooter>
    <oddHeader>&amp;R&amp;"Calibri"&amp;12&amp;K000000 Unclassified / Non classifié&amp;1#_x000D_</oddHead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1589C1FC759D4AA60564C8F3842147" ma:contentTypeVersion="12" ma:contentTypeDescription="Create a new document." ma:contentTypeScope="" ma:versionID="e192ebd17df5e88434ffecb41d2263bd">
  <xsd:schema xmlns:xsd="http://www.w3.org/2001/XMLSchema" xmlns:xs="http://www.w3.org/2001/XMLSchema" xmlns:p="http://schemas.microsoft.com/office/2006/metadata/properties" xmlns:ns2="07a96523-afd4-4dc9-b721-06301efa46cb" xmlns:ns3="fbefe4ba-026d-4305-8526-cf07e7b24d59" targetNamespace="http://schemas.microsoft.com/office/2006/metadata/properties" ma:root="true" ma:fieldsID="739d062eeac95b895d132e31371c2902" ns2:_="" ns3:_="">
    <xsd:import namespace="07a96523-afd4-4dc9-b721-06301efa46cb"/>
    <xsd:import namespace="fbefe4ba-026d-4305-8526-cf07e7b24d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a96523-afd4-4dc9-b721-06301efa46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38d4629-38ad-4148-bc9e-acd04a442d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efe4ba-026d-4305-8526-cf07e7b24d5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de4222b-b476-4838-9e72-b32a4cf4d825}" ma:internalName="TaxCatchAll" ma:showField="CatchAllData" ma:web="fbefe4ba-026d-4305-8526-cf07e7b24d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befe4ba-026d-4305-8526-cf07e7b24d59">
      <Value>3</Value>
      <Value>2</Value>
      <Value>1</Value>
    </TaxCatchAll>
    <lcf76f155ced4ddcb4097134ff3c332f xmlns="07a96523-afd4-4dc9-b721-06301efa46c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942D00-655D-4E8C-91E0-AB57532BE1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a96523-afd4-4dc9-b721-06301efa46cb"/>
    <ds:schemaRef ds:uri="fbefe4ba-026d-4305-8526-cf07e7b24d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FCF9C97-D382-4F60-8745-E18CDB0F75C6}">
  <ds:schemaRefs>
    <ds:schemaRef ds:uri="http://schemas.microsoft.com/office/2006/metadata/properties"/>
    <ds:schemaRef ds:uri="http://schemas.microsoft.com/office/infopath/2007/PartnerControls"/>
    <ds:schemaRef ds:uri="f4de791d-71e9-453a-84f5-64465da6bdc2"/>
    <ds:schemaRef ds:uri="36ae95bb-5f5d-411d-84fa-3fa7e3ce01e9"/>
    <ds:schemaRef ds:uri="fbefe4ba-026d-4305-8526-cf07e7b24d59"/>
    <ds:schemaRef ds:uri="07a96523-afd4-4dc9-b721-06301efa46cb"/>
  </ds:schemaRefs>
</ds:datastoreItem>
</file>

<file path=customXml/itemProps3.xml><?xml version="1.0" encoding="utf-8"?>
<ds:datastoreItem xmlns:ds="http://schemas.openxmlformats.org/officeDocument/2006/customXml" ds:itemID="{8A61B91C-DDF2-47EB-BFBF-84A89049EA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Run #1</vt:lpstr>
      <vt:lpstr>Run #2</vt:lpstr>
    </vt:vector>
  </TitlesOfParts>
  <Manager/>
  <Company>HC-PHAC - SC-ASPC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Plante, Daniel (HC/SC)</dc:creator>
  <cp:keywords/>
  <dc:description/>
  <cp:lastModifiedBy>Gill, Alex (HC/SC)</cp:lastModifiedBy>
  <cp:revision/>
  <dcterms:created xsi:type="dcterms:W3CDTF">2024-05-21T15:04:09Z</dcterms:created>
  <dcterms:modified xsi:type="dcterms:W3CDTF">2026-03-01T23:46:21Z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rchival">
    <vt:lpwstr/>
  </property>
  <property fmtid="{D5CDD505-2E9C-101B-9397-08002B2CF9AE}" pid="3" name="MediaServiceImageTags">
    <vt:lpwstr/>
  </property>
  <property fmtid="{D5CDD505-2E9C-101B-9397-08002B2CF9AE}" pid="4" name="Accountability">
    <vt:lpwstr>3;#Laboratories|ecf3c7b8-7787-40a2-ac5b-c0435af29266</vt:lpwstr>
  </property>
  <property fmtid="{D5CDD505-2E9C-101B-9397-08002B2CF9AE}" pid="5" name="ContentTypeId">
    <vt:lpwstr>0x010100761589C1FC759D4AA60564C8F3842147</vt:lpwstr>
  </property>
  <property fmtid="{D5CDD505-2E9C-101B-9397-08002B2CF9AE}" pid="6" name="Fiscal Year">
    <vt:lpwstr/>
  </property>
  <property fmtid="{D5CDD505-2E9C-101B-9397-08002B2CF9AE}" pid="7" name="_dlc_DocIdItemGuid">
    <vt:lpwstr>34facaa7-924a-412f-a806-4b5dab8bdab1</vt:lpwstr>
  </property>
  <property fmtid="{D5CDD505-2E9C-101B-9397-08002B2CF9AE}" pid="8" name="Program">
    <vt:lpwstr>2;#Laboratory science leadership and services|374f136d-90b0-4bc2-af38-50de5dc5d5ad</vt:lpwstr>
  </property>
  <property fmtid="{D5CDD505-2E9C-101B-9397-08002B2CF9AE}" pid="9" name="Document-Status">
    <vt:lpwstr>1;#Active|b3c4d83a-10bd-4776-b251-f379e1cb284c</vt:lpwstr>
  </property>
  <property fmtid="{D5CDD505-2E9C-101B-9397-08002B2CF9AE}" pid="10" name="Security Level">
    <vt:lpwstr/>
  </property>
  <property fmtid="{D5CDD505-2E9C-101B-9397-08002B2CF9AE}" pid="11" name="lcf76f155ced4ddcb4097134ff3c332f">
    <vt:lpwstr/>
  </property>
  <property fmtid="{D5CDD505-2E9C-101B-9397-08002B2CF9AE}" pid="12" name="MSIP_Label_05d8ed60-cd71-485b-a85b-277aaf32f506_Enabled">
    <vt:lpwstr>true</vt:lpwstr>
  </property>
  <property fmtid="{D5CDD505-2E9C-101B-9397-08002B2CF9AE}" pid="13" name="MSIP_Label_05d8ed60-cd71-485b-a85b-277aaf32f506_SetDate">
    <vt:lpwstr>2024-10-24T14:15:23Z</vt:lpwstr>
  </property>
  <property fmtid="{D5CDD505-2E9C-101B-9397-08002B2CF9AE}" pid="14" name="MSIP_Label_05d8ed60-cd71-485b-a85b-277aaf32f506_Method">
    <vt:lpwstr>Standard</vt:lpwstr>
  </property>
  <property fmtid="{D5CDD505-2E9C-101B-9397-08002B2CF9AE}" pid="15" name="MSIP_Label_05d8ed60-cd71-485b-a85b-277aaf32f506_Name">
    <vt:lpwstr>Unclassified</vt:lpwstr>
  </property>
  <property fmtid="{D5CDD505-2E9C-101B-9397-08002B2CF9AE}" pid="16" name="MSIP_Label_05d8ed60-cd71-485b-a85b-277aaf32f506_SiteId">
    <vt:lpwstr>42fd9015-de4d-4223-a368-baeacab48927</vt:lpwstr>
  </property>
  <property fmtid="{D5CDD505-2E9C-101B-9397-08002B2CF9AE}" pid="17" name="MSIP_Label_05d8ed60-cd71-485b-a85b-277aaf32f506_ActionId">
    <vt:lpwstr>10ffd5e0-f842-4d36-a1af-8cf3fb4c9384</vt:lpwstr>
  </property>
  <property fmtid="{D5CDD505-2E9C-101B-9397-08002B2CF9AE}" pid="18" name="MSIP_Label_05d8ed60-cd71-485b-a85b-277aaf32f506_ContentBits">
    <vt:lpwstr>1</vt:lpwstr>
  </property>
  <property fmtid="{D5CDD505-2E9C-101B-9397-08002B2CF9AE}" pid="19" name="Fiscal_x0020_Year">
    <vt:lpwstr/>
  </property>
  <property fmtid="{D5CDD505-2E9C-101B-9397-08002B2CF9AE}" pid="20" name="Document_x002d_Status">
    <vt:lpwstr>1;#Active|b3c4d83a-10bd-4776-b251-f379e1cb284c</vt:lpwstr>
  </property>
  <property fmtid="{D5CDD505-2E9C-101B-9397-08002B2CF9AE}" pid="21" name="Security_x0020_Level">
    <vt:lpwstr/>
  </property>
</Properties>
</file>